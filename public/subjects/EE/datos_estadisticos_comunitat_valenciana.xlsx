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E30F167F-CC01-4FE7-BA24-4C53EFF7FC9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AROPE" sheetId="1" r:id="rId1"/>
    <sheet name="Formación" sheetId="3" r:id="rId2"/>
    <sheet name="PIB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G12" i="3"/>
  <c r="F12" i="3"/>
  <c r="E12" i="3"/>
  <c r="D12" i="3"/>
  <c r="C12" i="3"/>
  <c r="B12" i="3"/>
  <c r="H11" i="3"/>
  <c r="G11" i="3"/>
  <c r="F11" i="3"/>
  <c r="E11" i="3"/>
  <c r="D11" i="3"/>
  <c r="C11" i="3"/>
  <c r="B11" i="3"/>
</calcChain>
</file>

<file path=xl/sharedStrings.xml><?xml version="1.0" encoding="utf-8"?>
<sst xmlns="http://schemas.openxmlformats.org/spreadsheetml/2006/main" count="53" uniqueCount="38">
  <si>
    <t>Francisco Javier Checa Casas | Ana Maria Garcia Rondan | Kinga Osuchowska</t>
  </si>
  <si>
    <t>Riesgo de pobreza o exclusión social y de sus componentes por comunidades autónomas</t>
  </si>
  <si>
    <t>Unidades: %</t>
  </si>
  <si>
    <t/>
  </si>
  <si>
    <t>Indicador</t>
  </si>
  <si>
    <t>Total Nacional (%)</t>
  </si>
  <si>
    <t>Comunidad Valenciana (%)</t>
  </si>
  <si>
    <t xml:space="preserve">    Viviendo en hogares con baja intensidad en el trabajo (de 0 a 59 años)</t>
  </si>
  <si>
    <t xml:space="preserve">    Con carencia material severa</t>
  </si>
  <si>
    <t xml:space="preserve">    En riesgo de pobreza (renta año anterior a la entrevista)</t>
  </si>
  <si>
    <t>Población de 16 y más años por nivel de formación alcanzado, sexo y comunidad autónoma. Valores absolutos</t>
  </si>
  <si>
    <t>Unidades: Miles Personas</t>
  </si>
  <si>
    <t>Comunidad</t>
  </si>
  <si>
    <t>Analfabetos</t>
  </si>
  <si>
    <t>Estudios primarios incompletos</t>
  </si>
  <si>
    <t>Educación primaria</t>
  </si>
  <si>
    <t>Primera etapa de Educación Secundaria</t>
  </si>
  <si>
    <t>Segunda etapa de educación secundaria</t>
  </si>
  <si>
    <t>Educación secundaria con orientación profesional</t>
  </si>
  <si>
    <t>Educación superior</t>
  </si>
  <si>
    <t xml:space="preserve">    Total Nacional</t>
  </si>
  <si>
    <t xml:space="preserve">    10 Comunitat Valenciana</t>
  </si>
  <si>
    <t>Porcentaje sobre el total</t>
  </si>
  <si>
    <t xml:space="preserve">P.I.B. a precios de mercado y valor añadido bruto a precios básicos por ramas de actividad: Precios corrientes por comunidades y ciudades autónomas, magnitud y periodo. </t>
  </si>
  <si>
    <t>Unidades: miles de euros y porcentajes</t>
  </si>
  <si>
    <t>Comunidad / Indicador</t>
  </si>
  <si>
    <t>Valor (miles de euros)</t>
  </si>
  <si>
    <t>2017</t>
  </si>
  <si>
    <t>2018</t>
  </si>
  <si>
    <t>2019</t>
  </si>
  <si>
    <t>2020</t>
  </si>
  <si>
    <t>2021</t>
  </si>
  <si>
    <t>2022</t>
  </si>
  <si>
    <t>2023(P)</t>
  </si>
  <si>
    <t>2024(A)</t>
  </si>
  <si>
    <t>Total Nacional</t>
  </si>
  <si>
    <t xml:space="preserve">    PRODUCTO INTERIOR BRUTO A PRECIOS DE MERCADO</t>
  </si>
  <si>
    <t>10 Comunitat Valenciana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</si>
</sst>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#,##0.0&quot;%&quot;"/>
    <numFmt numFmtId="166" formatCode="#,##0.0;\(#,##0.0\);\-"/>
    <numFmt numFmtId="168" formatCode="0.0%"/>
  </numFmts>
  <fonts count="14">
    <font>
      <sz val="11"/>
      <color theme="1"/>
      <name val="Calibri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b/>
      <sz val="11"/>
      <color rgb="FFFFFFFF"/>
      <name val="Arial"/>
    </font>
    <font>
      <b/>
      <sz val="12"/>
      <color rgb="FFFFFFFF"/>
      <name val="Calibri"/>
    </font>
    <font>
      <i/>
      <sz val="10"/>
      <color rgb="FF1F4E78"/>
      <name val="Arial"/>
    </font>
    <font>
      <b/>
      <sz val="10"/>
      <color rgb="FFFFFFFF"/>
      <name val="Arial"/>
    </font>
    <font>
      <b/>
      <sz val="10"/>
      <color rgb="FFFFFFFF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1F4E7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1F4E78"/>
      </bottom>
      <diagonal/>
    </border>
    <border>
      <left style="medium">
        <color rgb="FF1F4E78"/>
      </left>
      <right style="thin">
        <color rgb="FFFFFFFF"/>
      </right>
      <top style="medium">
        <color rgb="FF1F4E78"/>
      </top>
      <bottom style="thin">
        <color rgb="FFFFFFFF"/>
      </bottom>
      <diagonal/>
    </border>
    <border>
      <left style="medium">
        <color rgb="FF1F4E78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1F4E78"/>
      </left>
      <right style="thin">
        <color rgb="FFFFFFFF"/>
      </right>
      <top style="thin">
        <color rgb="FFFFFFFF"/>
      </top>
      <bottom style="medium">
        <color rgb="FF1F4E78"/>
      </bottom>
      <diagonal/>
    </border>
    <border>
      <left style="thin">
        <color rgb="FFFFFFFF"/>
      </left>
      <right style="medium">
        <color rgb="FF1F4E78"/>
      </right>
      <top style="medium">
        <color rgb="FF1F4E78"/>
      </top>
      <bottom style="thin">
        <color rgb="FFFFFFFF"/>
      </bottom>
      <diagonal/>
    </border>
    <border>
      <left style="thin">
        <color rgb="FFFFFFFF"/>
      </left>
      <right style="medium">
        <color rgb="FF1F4E78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1F4E78"/>
      </right>
      <top style="thin">
        <color rgb="FFFFFFF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7" fillId="3" borderId="6" xfId="0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right"/>
    </xf>
    <xf numFmtId="164" fontId="10" fillId="7" borderId="8" xfId="0" applyNumberFormat="1" applyFont="1" applyFill="1" applyBorder="1" applyAlignment="1">
      <alignment horizontal="right"/>
    </xf>
    <xf numFmtId="0" fontId="9" fillId="6" borderId="10" xfId="0" applyFont="1" applyFill="1" applyBorder="1" applyAlignment="1">
      <alignment horizontal="left"/>
    </xf>
    <xf numFmtId="0" fontId="9" fillId="7" borderId="11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center" vertical="center"/>
    </xf>
    <xf numFmtId="164" fontId="10" fillId="6" borderId="13" xfId="0" applyNumberFormat="1" applyFont="1" applyFill="1" applyBorder="1" applyAlignment="1">
      <alignment horizontal="right"/>
    </xf>
    <xf numFmtId="164" fontId="10" fillId="7" borderId="14" xfId="0" applyNumberFormat="1" applyFont="1" applyFill="1" applyBorder="1" applyAlignment="1">
      <alignment horizontal="right"/>
    </xf>
    <xf numFmtId="165" fontId="10" fillId="6" borderId="15" xfId="0" applyNumberFormat="1" applyFont="1" applyFill="1" applyBorder="1" applyAlignment="1">
      <alignment horizontal="right"/>
    </xf>
    <xf numFmtId="165" fontId="10" fillId="7" borderId="15" xfId="0" applyNumberFormat="1" applyFont="1" applyFill="1" applyBorder="1" applyAlignment="1">
      <alignment horizontal="right"/>
    </xf>
    <xf numFmtId="0" fontId="7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left"/>
    </xf>
    <xf numFmtId="0" fontId="10" fillId="7" borderId="19" xfId="0" applyFont="1" applyFill="1" applyBorder="1" applyAlignment="1">
      <alignment horizontal="left"/>
    </xf>
    <xf numFmtId="0" fontId="7" fillId="3" borderId="20" xfId="0" applyFont="1" applyFill="1" applyBorder="1" applyAlignment="1">
      <alignment horizontal="center" vertical="center"/>
    </xf>
    <xf numFmtId="165" fontId="10" fillId="6" borderId="21" xfId="0" applyNumberFormat="1" applyFont="1" applyFill="1" applyBorder="1" applyAlignment="1">
      <alignment horizontal="right"/>
    </xf>
    <xf numFmtId="0" fontId="7" fillId="3" borderId="22" xfId="0" applyFont="1" applyFill="1" applyBorder="1" applyAlignment="1">
      <alignment horizontal="center" vertical="center" wrapText="1"/>
    </xf>
    <xf numFmtId="166" fontId="10" fillId="6" borderId="15" xfId="0" applyNumberFormat="1" applyFont="1" applyFill="1" applyBorder="1" applyAlignment="1">
      <alignment horizontal="right"/>
    </xf>
    <xf numFmtId="166" fontId="10" fillId="7" borderId="23" xfId="0" applyNumberFormat="1" applyFont="1" applyFill="1" applyBorder="1" applyAlignment="1">
      <alignment horizontal="right"/>
    </xf>
    <xf numFmtId="0" fontId="8" fillId="3" borderId="24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left"/>
    </xf>
    <xf numFmtId="0" fontId="9" fillId="7" borderId="26" xfId="0" applyFont="1" applyFill="1" applyBorder="1" applyAlignment="1">
      <alignment horizontal="left"/>
    </xf>
    <xf numFmtId="0" fontId="7" fillId="3" borderId="27" xfId="0" applyFont="1" applyFill="1" applyBorder="1" applyAlignment="1">
      <alignment horizontal="center" vertical="center" wrapText="1"/>
    </xf>
    <xf numFmtId="166" fontId="10" fillId="6" borderId="28" xfId="0" applyNumberFormat="1" applyFont="1" applyFill="1" applyBorder="1" applyAlignment="1">
      <alignment horizontal="right"/>
    </xf>
    <xf numFmtId="166" fontId="10" fillId="7" borderId="29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left"/>
    </xf>
    <xf numFmtId="0" fontId="7" fillId="5" borderId="6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1" fillId="0" borderId="0" xfId="0" applyFont="1"/>
    <xf numFmtId="0" fontId="8" fillId="3" borderId="0" xfId="0" applyFont="1" applyFill="1" applyAlignment="1">
      <alignment horizontal="center"/>
    </xf>
    <xf numFmtId="0" fontId="12" fillId="0" borderId="0" xfId="0" applyFont="1"/>
    <xf numFmtId="0" fontId="12" fillId="7" borderId="0" xfId="0" applyFont="1" applyFill="1"/>
    <xf numFmtId="168" fontId="0" fillId="0" borderId="0" xfId="0" applyNumberFormat="1" applyAlignment="1">
      <alignment horizontal="right"/>
    </xf>
    <xf numFmtId="168" fontId="0" fillId="7" borderId="0" xfId="0" applyNumberFormat="1" applyFill="1" applyAlignment="1">
      <alignment horizontal="right"/>
    </xf>
    <xf numFmtId="165" fontId="10" fillId="7" borderId="28" xfId="0" applyNumberFormat="1" applyFont="1" applyFill="1" applyBorder="1" applyAlignment="1">
      <alignment horizontal="right"/>
    </xf>
    <xf numFmtId="165" fontId="10" fillId="7" borderId="29" xfId="0" applyNumberFormat="1" applyFont="1" applyFill="1" applyBorder="1" applyAlignment="1">
      <alignment horizontal="right"/>
    </xf>
    <xf numFmtId="165" fontId="10" fillId="7" borderId="23" xfId="0" applyNumberFormat="1" applyFont="1" applyFill="1" applyBorder="1" applyAlignment="1">
      <alignment horizontal="right"/>
    </xf>
    <xf numFmtId="0" fontId="10" fillId="7" borderId="25" xfId="0" applyFont="1" applyFill="1" applyBorder="1" applyAlignment="1">
      <alignment horizontal="left"/>
    </xf>
    <xf numFmtId="0" fontId="13" fillId="0" borderId="0" xfId="0" applyFont="1" applyFill="1" applyAlignment="1">
      <alignment horizontal="left"/>
    </xf>
    <xf numFmtId="0" fontId="3" fillId="2" borderId="3" xfId="0" applyFont="1" applyFill="1" applyBorder="1" applyAlignment="1"/>
    <xf numFmtId="0" fontId="3" fillId="2" borderId="1" xfId="0" applyFont="1" applyFill="1" applyBorder="1" applyAlignment="1"/>
    <xf numFmtId="0" fontId="1" fillId="2" borderId="5" xfId="0" applyFont="1" applyFill="1" applyBorder="1" applyAlignment="1"/>
    <xf numFmtId="0" fontId="1" fillId="2" borderId="2" xfId="0" applyFont="1" applyFill="1" applyBorder="1" applyAlignment="1"/>
    <xf numFmtId="0" fontId="2" fillId="2" borderId="5" xfId="0" applyFont="1" applyFill="1" applyBorder="1" applyAlignment="1"/>
    <xf numFmtId="0" fontId="2" fillId="2" borderId="2" xfId="0" applyFont="1" applyFill="1" applyBorder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7" formatCode="#,##0.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7" formatCode="#,##0.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DEEEC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border>
        <top style="thin">
          <color rgb="FFBFBFBF"/>
        </top>
      </border>
    </dxf>
    <dxf>
      <border>
        <bottom style="thin">
          <color rgb="FFBFBFBF"/>
        </bottom>
      </border>
    </dxf>
    <dxf>
      <border diagonalUp="0" diagonalDown="0">
        <left style="medium">
          <color rgb="FF1F4E78"/>
        </left>
        <right style="medium">
          <color rgb="FF1F4E78"/>
        </right>
        <top style="medium">
          <color rgb="FF1F4E78"/>
        </top>
        <bottom style="medium">
          <color rgb="FF1F4E78"/>
        </bottom>
      </border>
    </dxf>
    <dxf>
      <font>
        <b/>
        <sz val="10"/>
        <color rgb="FFFFFFFF"/>
      </font>
      <fill>
        <patternFill patternType="solid">
          <fgColor indexed="64"/>
          <bgColor rgb="FF1F4E78"/>
        </patternFill>
      </fill>
      <alignment horizontal="center" vertical="center"/>
      <border diagonalUp="0" diagonalDown="0">
        <left style="thin">
          <color rgb="FFBFBFBF"/>
        </left>
        <right style="thin">
          <color rgb="FFBFBFBF"/>
        </right>
        <top/>
        <bottom/>
        <vertical style="thin">
          <color rgb="FFBFBFBF"/>
        </vertical>
        <horizontal style="thin">
          <color rgb="FFBFBFBF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Componentes tasa AROPE</a:t>
            </a:r>
          </a:p>
        </c:rich>
      </c:tx>
      <c:layout>
        <c:manualLayout>
          <c:xMode val="edge"/>
          <c:yMode val="edge"/>
          <c:x val="0.4090914309245417"/>
          <c:y val="2.53968253968253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AROPE!$B$5</c:f>
              <c:strCache>
                <c:ptCount val="1"/>
                <c:pt idx="0">
                  <c:v>Total Nacional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AROPE!$A$6:$A$8</c:f>
              <c:strCache>
                <c:ptCount val="3"/>
                <c:pt idx="0">
                  <c:v>    Viviendo en hogares con baja intensidad en el trabajo (de 0 a 59 años)</c:v>
                </c:pt>
                <c:pt idx="1">
                  <c:v>    Con carencia material severa</c:v>
                </c:pt>
                <c:pt idx="2">
                  <c:v>    En riesgo de pobreza (renta año anterior a la entrevista)</c:v>
                </c:pt>
              </c:strCache>
            </c:strRef>
          </c:cat>
          <c:val>
            <c:numRef>
              <c:f>AROPE!$B$6:$B$8</c:f>
              <c:numCache>
                <c:formatCode>#,##0.0"%"</c:formatCode>
                <c:ptCount val="3"/>
                <c:pt idx="0">
                  <c:v>8.1999999999999993</c:v>
                </c:pt>
                <c:pt idx="1">
                  <c:v>8.4</c:v>
                </c:pt>
                <c:pt idx="2">
                  <c:v>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A-4CFF-9F0E-A14B64CB6466}"/>
            </c:ext>
          </c:extLst>
        </c:ser>
        <c:ser>
          <c:idx val="1"/>
          <c:order val="1"/>
          <c:tx>
            <c:strRef>
              <c:f>AROPE!$C$5</c:f>
              <c:strCache>
                <c:ptCount val="1"/>
                <c:pt idx="0">
                  <c:v>Comunidad Valenciana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AROPE!$A$6:$A$8</c:f>
              <c:strCache>
                <c:ptCount val="3"/>
                <c:pt idx="0">
                  <c:v>    Viviendo en hogares con baja intensidad en el trabajo (de 0 a 59 años)</c:v>
                </c:pt>
                <c:pt idx="1">
                  <c:v>    Con carencia material severa</c:v>
                </c:pt>
                <c:pt idx="2">
                  <c:v>    En riesgo de pobreza (renta año anterior a la entrevista)</c:v>
                </c:pt>
              </c:strCache>
            </c:strRef>
          </c:cat>
          <c:val>
            <c:numRef>
              <c:f>AROPE!$C$6:$C$8</c:f>
              <c:numCache>
                <c:formatCode>#,##0.0"%"</c:formatCode>
                <c:ptCount val="3"/>
                <c:pt idx="0">
                  <c:v>8.6999999999999993</c:v>
                </c:pt>
                <c:pt idx="1">
                  <c:v>9</c:v>
                </c:pt>
                <c:pt idx="2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BA-4CFF-9F0E-A14B64CB6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164552"/>
        <c:axId val="200093704"/>
      </c:barChart>
      <c:catAx>
        <c:axId val="197164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3704"/>
        <c:crosses val="autoZero"/>
        <c:auto val="1"/>
        <c:lblAlgn val="ctr"/>
        <c:lblOffset val="100"/>
        <c:noMultiLvlLbl val="0"/>
      </c:catAx>
      <c:valAx>
        <c:axId val="20009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&quot;%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Nivel de formación alcanzado (% sobre el total)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Formación!$B$10</c:f>
              <c:strCache>
                <c:ptCount val="1"/>
                <c:pt idx="0">
                  <c:v>Analfabetos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5076815328158494"/>
                  <c:y val="-3.396226415094348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59B-4982-9A13-D99EB44C330E}"/>
                </c:ext>
              </c:extLst>
            </c:dLbl>
            <c:dLbl>
              <c:idx val="1"/>
              <c:layout>
                <c:manualLayout>
                  <c:x val="-0.14183632652007425"/>
                  <c:y val="-3.396218737716195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59B-4982-9A13-D99EB44C330E}"/>
                </c:ext>
              </c:extLst>
            </c:dLbl>
            <c:numFmt formatCode="0.0%" sourceLinked="0"/>
            <c:spPr>
              <a:solidFill>
                <a:srgbClr val="0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Formación!$A$11:$A$12</c:f>
              <c:strCache>
                <c:ptCount val="2"/>
                <c:pt idx="0">
                  <c:v>    Total Nacional</c:v>
                </c:pt>
                <c:pt idx="1">
                  <c:v>    10 Comunitat Valenciana</c:v>
                </c:pt>
              </c:strCache>
            </c:strRef>
          </c:cat>
          <c:val>
            <c:numRef>
              <c:f>Formación!$B$11:$B$12</c:f>
              <c:numCache>
                <c:formatCode>0.0%</c:formatCode>
                <c:ptCount val="2"/>
                <c:pt idx="0">
                  <c:v>1.1993061586837224E-2</c:v>
                </c:pt>
                <c:pt idx="1">
                  <c:v>1.2329428283094204E-2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B-4982-9A13-D99EB44C330E}"/>
            </c:ext>
          </c:extLst>
        </c:ser>
        <c:ser>
          <c:idx val="1"/>
          <c:order val="1"/>
          <c:tx>
            <c:strRef>
              <c:f>Formación!$C$10</c:f>
              <c:strCache>
                <c:ptCount val="1"/>
                <c:pt idx="0">
                  <c:v>Estudios primarios incompletos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Formación!$A$11:$A$12</c:f>
              <c:strCache>
                <c:ptCount val="2"/>
                <c:pt idx="0">
                  <c:v>    Total Nacional</c:v>
                </c:pt>
                <c:pt idx="1">
                  <c:v>    10 Comunitat Valenciana</c:v>
                </c:pt>
              </c:strCache>
            </c:strRef>
          </c:cat>
          <c:val>
            <c:numRef>
              <c:f>Formación!$C$11:$C$12</c:f>
              <c:numCache>
                <c:formatCode>0.0%</c:formatCode>
                <c:ptCount val="2"/>
                <c:pt idx="0">
                  <c:v>3.8577480951842505E-2</c:v>
                </c:pt>
                <c:pt idx="1">
                  <c:v>4.5302970470799876E-2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9B-4982-9A13-D99EB44C330E}"/>
            </c:ext>
          </c:extLst>
        </c:ser>
        <c:ser>
          <c:idx val="2"/>
          <c:order val="2"/>
          <c:tx>
            <c:strRef>
              <c:f>Formación!$D$10</c:f>
              <c:strCache>
                <c:ptCount val="1"/>
                <c:pt idx="0">
                  <c:v>Educación primaria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Formación!$A$11:$A$12</c:f>
              <c:strCache>
                <c:ptCount val="2"/>
                <c:pt idx="0">
                  <c:v>    Total Nacional</c:v>
                </c:pt>
                <c:pt idx="1">
                  <c:v>    10 Comunitat Valenciana</c:v>
                </c:pt>
              </c:strCache>
            </c:strRef>
          </c:cat>
          <c:val>
            <c:numRef>
              <c:f>Formación!$D$11:$D$12</c:f>
              <c:numCache>
                <c:formatCode>0.0%</c:formatCode>
                <c:ptCount val="2"/>
                <c:pt idx="0">
                  <c:v>0.1046054799991339</c:v>
                </c:pt>
                <c:pt idx="1">
                  <c:v>7.7903558422184202E-2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9B-4982-9A13-D99EB44C330E}"/>
            </c:ext>
          </c:extLst>
        </c:ser>
        <c:ser>
          <c:idx val="3"/>
          <c:order val="3"/>
          <c:tx>
            <c:strRef>
              <c:f>Formación!$E$10</c:f>
              <c:strCache>
                <c:ptCount val="1"/>
                <c:pt idx="0">
                  <c:v>Primera etapa de Educación Secundaria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Formación!$A$11:$A$12</c:f>
              <c:strCache>
                <c:ptCount val="2"/>
                <c:pt idx="0">
                  <c:v>    Total Nacional</c:v>
                </c:pt>
                <c:pt idx="1">
                  <c:v>    10 Comunitat Valenciana</c:v>
                </c:pt>
              </c:strCache>
            </c:strRef>
          </c:cat>
          <c:val>
            <c:numRef>
              <c:f>Formación!$E$11:$E$12</c:f>
              <c:numCache>
                <c:formatCode>0.0%</c:formatCode>
                <c:ptCount val="2"/>
                <c:pt idx="0">
                  <c:v>0.28362568175202152</c:v>
                </c:pt>
                <c:pt idx="1">
                  <c:v>0.33238997850028518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9B-4982-9A13-D99EB44C330E}"/>
            </c:ext>
          </c:extLst>
        </c:ser>
        <c:ser>
          <c:idx val="4"/>
          <c:order val="4"/>
          <c:tx>
            <c:strRef>
              <c:f>Formación!$F$10</c:f>
              <c:strCache>
                <c:ptCount val="1"/>
                <c:pt idx="0">
                  <c:v>Segunda etapa de educación secundaria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Formación!$A$11:$A$12</c:f>
              <c:strCache>
                <c:ptCount val="2"/>
                <c:pt idx="0">
                  <c:v>    Total Nacional</c:v>
                </c:pt>
                <c:pt idx="1">
                  <c:v>    10 Comunitat Valenciana</c:v>
                </c:pt>
              </c:strCache>
            </c:strRef>
          </c:cat>
          <c:val>
            <c:numRef>
              <c:f>Formación!$F$11:$F$12</c:f>
              <c:numCache>
                <c:formatCode>0.0%</c:formatCode>
                <c:ptCount val="2"/>
                <c:pt idx="0">
                  <c:v>0.14307951026928453</c:v>
                </c:pt>
                <c:pt idx="1">
                  <c:v>0.13274976964591287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9B-4982-9A13-D99EB44C330E}"/>
            </c:ext>
          </c:extLst>
        </c:ser>
        <c:ser>
          <c:idx val="5"/>
          <c:order val="5"/>
          <c:tx>
            <c:strRef>
              <c:f>Formación!$G$10</c:f>
              <c:strCache>
                <c:ptCount val="1"/>
                <c:pt idx="0">
                  <c:v>Educación secundaria con orientación profesional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Formación!$A$11:$A$12</c:f>
              <c:strCache>
                <c:ptCount val="2"/>
                <c:pt idx="0">
                  <c:v>    Total Nacional</c:v>
                </c:pt>
                <c:pt idx="1">
                  <c:v>    10 Comunitat Valenciana</c:v>
                </c:pt>
              </c:strCache>
            </c:strRef>
          </c:cat>
          <c:val>
            <c:numRef>
              <c:f>Formación!$G$11:$G$12</c:f>
              <c:numCache>
                <c:formatCode>0.0%</c:formatCode>
                <c:ptCount val="2"/>
                <c:pt idx="0">
                  <c:v>8.572933933507676E-2</c:v>
                </c:pt>
                <c:pt idx="1">
                  <c:v>9.5849238734588213E-2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9B-4982-9A13-D99EB44C330E}"/>
            </c:ext>
          </c:extLst>
        </c:ser>
        <c:ser>
          <c:idx val="6"/>
          <c:order val="6"/>
          <c:tx>
            <c:strRef>
              <c:f>Formación!$H$10</c:f>
              <c:strCache>
                <c:ptCount val="1"/>
                <c:pt idx="0">
                  <c:v>Educación superior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Formación!$A$11:$A$12</c:f>
              <c:strCache>
                <c:ptCount val="2"/>
                <c:pt idx="0">
                  <c:v>    Total Nacional</c:v>
                </c:pt>
                <c:pt idx="1">
                  <c:v>    10 Comunitat Valenciana</c:v>
                </c:pt>
              </c:strCache>
            </c:strRef>
          </c:cat>
          <c:val>
            <c:numRef>
              <c:f>Formación!$H$11:$H$12</c:f>
              <c:numCache>
                <c:formatCode>0.0%</c:formatCode>
                <c:ptCount val="2"/>
                <c:pt idx="0">
                  <c:v>0.33238944610580362</c:v>
                </c:pt>
                <c:pt idx="1">
                  <c:v>0.30347505594313545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9B-4982-9A13-D99EB44C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9237768"/>
        <c:axId val="749239816"/>
      </c:barChart>
      <c:catAx>
        <c:axId val="74923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39816"/>
        <c:crosses val="autoZero"/>
        <c:auto val="1"/>
        <c:lblAlgn val="ctr"/>
        <c:lblOffset val="100"/>
        <c:noMultiLvlLbl val="0"/>
      </c:catAx>
      <c:valAx>
        <c:axId val="74923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3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PIBpm (miles de euros)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PIBpm nacional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PIB!$B$6:$I$6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2023(P)</c:v>
                </c:pt>
                <c:pt idx="7">
                  <c:v>2024(A)</c:v>
                </c:pt>
              </c:strCache>
            </c:strRef>
          </c:cat>
          <c:val>
            <c:numRef>
              <c:f>PIB!$B$8:$I$8</c:f>
              <c:numCache>
                <c:formatCode>#,##0;\(#,##0\);\-</c:formatCode>
                <c:ptCount val="8"/>
                <c:pt idx="0">
                  <c:v>1170024000</c:v>
                </c:pt>
                <c:pt idx="1">
                  <c:v>1212276000</c:v>
                </c:pt>
                <c:pt idx="2">
                  <c:v>1253710000</c:v>
                </c:pt>
                <c:pt idx="3">
                  <c:v>1129214000</c:v>
                </c:pt>
                <c:pt idx="4">
                  <c:v>1235474000</c:v>
                </c:pt>
                <c:pt idx="5">
                  <c:v>1375863000</c:v>
                </c:pt>
                <c:pt idx="6">
                  <c:v>1497761000</c:v>
                </c:pt>
                <c:pt idx="7">
                  <c:v>1594330000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CF4-4F5D-88F4-6AA72F329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132999"/>
        <c:axId val="562147335"/>
      </c:lineChart>
      <c:lineChart>
        <c:grouping val="standard"/>
        <c:varyColors val="0"/>
        <c:ser>
          <c:idx val="1"/>
          <c:order val="1"/>
          <c:tx>
            <c:v>PIBpm C.Valenciana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PIB!$B$6:$I$6</c:f>
              <c:strCach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2023(P)</c:v>
                </c:pt>
                <c:pt idx="7">
                  <c:v>2024(A)</c:v>
                </c:pt>
              </c:strCache>
            </c:strRef>
          </c:cat>
          <c:val>
            <c:numRef>
              <c:f>PIB!$B$10:$I$10</c:f>
              <c:numCache>
                <c:formatCode>#,##0;\(#,##0\);\-</c:formatCode>
                <c:ptCount val="8"/>
                <c:pt idx="0">
                  <c:v>108666712</c:v>
                </c:pt>
                <c:pt idx="1">
                  <c:v>112749574</c:v>
                </c:pt>
                <c:pt idx="2">
                  <c:v>116588528</c:v>
                </c:pt>
                <c:pt idx="3">
                  <c:v>106067171</c:v>
                </c:pt>
                <c:pt idx="4">
                  <c:v>116386906</c:v>
                </c:pt>
                <c:pt idx="5">
                  <c:v>127583394</c:v>
                </c:pt>
                <c:pt idx="6">
                  <c:v>139655905</c:v>
                </c:pt>
                <c:pt idx="7">
                  <c:v>148283453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CF4-4F5D-88F4-6AA72F329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402631"/>
        <c:axId val="797387271"/>
      </c:lineChart>
      <c:catAx>
        <c:axId val="562132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47335"/>
        <c:crosses val="autoZero"/>
        <c:auto val="1"/>
        <c:lblAlgn val="ctr"/>
        <c:lblOffset val="100"/>
        <c:noMultiLvlLbl val="0"/>
      </c:catAx>
      <c:valAx>
        <c:axId val="562147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32999"/>
        <c:crosses val="autoZero"/>
        <c:crossBetween val="between"/>
      </c:valAx>
      <c:valAx>
        <c:axId val="797387271"/>
        <c:scaling>
          <c:orientation val="minMax"/>
        </c:scaling>
        <c:delete val="0"/>
        <c:axPos val="r"/>
        <c:numFmt formatCode="#,##0;\(#,##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02631"/>
        <c:crosses val="max"/>
        <c:crossBetween val="between"/>
      </c:valAx>
      <c:catAx>
        <c:axId val="797402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73872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38100</xdr:rowOff>
    </xdr:from>
    <xdr:to>
      <xdr:col>2</xdr:col>
      <xdr:colOff>771525</xdr:colOff>
      <xdr:row>24</xdr:row>
      <xdr:rowOff>180975</xdr:rowOff>
    </xdr:to>
    <xdr:graphicFrame macro="">
      <xdr:nvGraphicFramePr>
        <xdr:cNvPr id="31" name="Wykres 6">
          <a:extLst>
            <a:ext uri="{FF2B5EF4-FFF2-40B4-BE49-F238E27FC236}">
              <a16:creationId xmlns:a16="http://schemas.microsoft.com/office/drawing/2014/main" id="{AE4147DF-17EC-8535-EAF3-E1196DF24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15</xdr:row>
      <xdr:rowOff>19050</xdr:rowOff>
    </xdr:from>
    <xdr:to>
      <xdr:col>5</xdr:col>
      <xdr:colOff>904875</xdr:colOff>
      <xdr:row>41</xdr:row>
      <xdr:rowOff>114300</xdr:rowOff>
    </xdr:to>
    <xdr:graphicFrame macro="">
      <xdr:nvGraphicFramePr>
        <xdr:cNvPr id="2" name="Gráfico Formación %">
          <a:extLst>
            <a:ext uri="{FF2B5EF4-FFF2-40B4-BE49-F238E27FC236}">
              <a16:creationId xmlns:a16="http://schemas.microsoft.com/office/drawing/2014/main" id="{5F780B4E-D338-31E9-8BDE-08E2BAE4CE2A}"/>
            </a:ext>
            <a:ext uri="{147F2762-F138-4A5C-976F-8EAC2B608ADB}">
              <a16:predDERef xmlns:a16="http://schemas.microsoft.com/office/drawing/2014/main" pred="{A21D132B-402E-6545-37CB-3380F6613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13</xdr:row>
      <xdr:rowOff>38100</xdr:rowOff>
    </xdr:from>
    <xdr:to>
      <xdr:col>6</xdr:col>
      <xdr:colOff>495300</xdr:colOff>
      <xdr:row>31</xdr:row>
      <xdr:rowOff>133350</xdr:rowOff>
    </xdr:to>
    <xdr:graphicFrame macro="">
      <xdr:nvGraphicFramePr>
        <xdr:cNvPr id="27" name="Gráfico 1">
          <a:extLst>
            <a:ext uri="{FF2B5EF4-FFF2-40B4-BE49-F238E27FC236}">
              <a16:creationId xmlns:a16="http://schemas.microsoft.com/office/drawing/2014/main" id="{AAEA8C5E-E24C-42DA-CA5D-47AB3B7CC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DFD16-139C-40B5-8411-CB3FA15A7AD3}" name="Tabela2" displayName="Tabela2" ref="A5:C8" totalsRowShown="0" headerRowDxfId="6" headerRowBorderDxfId="4" tableBorderDxfId="5" totalsRowBorderDxfId="3">
  <autoFilter ref="A5:C8" xr:uid="{F65DFD16-139C-40B5-8411-CB3FA15A7AD3}"/>
  <sortState xmlns:xlrd2="http://schemas.microsoft.com/office/spreadsheetml/2017/richdata2" ref="A6:C8">
    <sortCondition descending="1" ref="C5:C8"/>
  </sortState>
  <tableColumns count="3">
    <tableColumn id="1" xr3:uid="{7607B19A-223B-4CF4-981E-482F089784C9}" name="Indicador" dataDxfId="2"/>
    <tableColumn id="2" xr3:uid="{D8B5A2FB-9312-4A8F-8842-0DD4FB819215}" name="Total Nacional (%)" dataDxfId="1"/>
    <tableColumn id="3" xr3:uid="{AD16DE53-43A1-48F5-8214-BABB4C5CE3D0}" name="Comunidad Valenciana 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40E9A1-89E7-4E81-A560-3E1EABAA2529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076b1c91-e5a9-4d6a-8995-58315e50ece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B27" sqref="B27"/>
    </sheetView>
  </sheetViews>
  <sheetFormatPr defaultRowHeight="15"/>
  <cols>
    <col min="1" max="1" width="62.85546875" customWidth="1"/>
    <col min="2" max="3" width="28.5703125" customWidth="1"/>
    <col min="4" max="9" width="11.7109375" bestFit="1" customWidth="1"/>
  </cols>
  <sheetData>
    <row r="1" spans="1:11">
      <c r="A1" s="54" t="s">
        <v>0</v>
      </c>
    </row>
    <row r="2" spans="1:11">
      <c r="A2" s="34" t="s">
        <v>1</v>
      </c>
      <c r="B2" s="35"/>
      <c r="C2" s="36"/>
      <c r="D2" s="1"/>
      <c r="E2" s="1"/>
      <c r="F2" s="1"/>
      <c r="G2" s="1"/>
      <c r="H2" s="1"/>
      <c r="I2" s="1"/>
      <c r="J2" s="1"/>
      <c r="K2" s="1"/>
    </row>
    <row r="3" spans="1:11">
      <c r="A3" s="31" t="s">
        <v>2</v>
      </c>
      <c r="B3" s="32"/>
      <c r="C3" s="33"/>
      <c r="D3" s="2"/>
      <c r="E3" s="2"/>
      <c r="F3" s="2"/>
      <c r="G3" s="2"/>
      <c r="H3" s="2"/>
      <c r="I3" s="2"/>
      <c r="J3" s="2"/>
      <c r="K3" s="2"/>
    </row>
    <row r="4" spans="1:11">
      <c r="A4" s="55" t="s">
        <v>3</v>
      </c>
      <c r="B4" s="55"/>
      <c r="C4" s="55"/>
      <c r="D4" s="56"/>
      <c r="E4" s="56"/>
      <c r="F4" s="56"/>
      <c r="G4" s="56"/>
      <c r="H4" s="56"/>
      <c r="I4" s="56"/>
      <c r="J4" s="56"/>
      <c r="K4" s="56"/>
    </row>
    <row r="5" spans="1:11" ht="24" customHeight="1">
      <c r="A5" s="14" t="s">
        <v>4</v>
      </c>
      <c r="B5" s="13" t="s">
        <v>5</v>
      </c>
      <c r="C5" s="17" t="s">
        <v>6</v>
      </c>
    </row>
    <row r="6" spans="1:11" ht="20.25" customHeight="1">
      <c r="A6" s="16" t="s">
        <v>7</v>
      </c>
      <c r="B6" s="52">
        <v>8.1999999999999993</v>
      </c>
      <c r="C6" s="51">
        <v>8.6999999999999993</v>
      </c>
    </row>
    <row r="7" spans="1:11" ht="20.25" customHeight="1">
      <c r="A7" s="15" t="s">
        <v>8</v>
      </c>
      <c r="B7" s="11">
        <v>8.4</v>
      </c>
      <c r="C7" s="18">
        <v>9</v>
      </c>
    </row>
    <row r="8" spans="1:11" ht="20.25" customHeight="1">
      <c r="A8" s="53" t="s">
        <v>9</v>
      </c>
      <c r="B8" s="12">
        <v>19.7</v>
      </c>
      <c r="C8" s="50">
        <v>24.8</v>
      </c>
    </row>
    <row r="9" spans="1:11" ht="20.25" customHeight="1"/>
  </sheetData>
  <mergeCells count="3">
    <mergeCell ref="A2:C2"/>
    <mergeCell ref="A3:C3"/>
    <mergeCell ref="A4:K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5DCD-799C-4231-A2D9-C1B2D8BC86FD}">
  <dimension ref="A1:K12"/>
  <sheetViews>
    <sheetView tabSelected="1" workbookViewId="0">
      <selection activeCell="G27" sqref="G27"/>
    </sheetView>
  </sheetViews>
  <sheetFormatPr defaultRowHeight="15"/>
  <cols>
    <col min="1" max="1" width="41.85546875" customWidth="1"/>
    <col min="2" max="8" width="21.85546875" customWidth="1"/>
  </cols>
  <sheetData>
    <row r="1" spans="1:11">
      <c r="A1" s="54" t="s">
        <v>0</v>
      </c>
    </row>
    <row r="2" spans="1:11" ht="38.25" customHeight="1">
      <c r="A2" s="28" t="s">
        <v>10</v>
      </c>
      <c r="B2" s="29"/>
      <c r="C2" s="29"/>
      <c r="D2" s="29"/>
      <c r="E2" s="29"/>
      <c r="F2" s="29"/>
      <c r="G2" s="29"/>
      <c r="H2" s="30"/>
      <c r="I2" s="1"/>
      <c r="J2" s="1"/>
      <c r="K2" s="1"/>
    </row>
    <row r="3" spans="1:11">
      <c r="A3" s="31" t="s">
        <v>11</v>
      </c>
      <c r="B3" s="32"/>
      <c r="C3" s="32"/>
      <c r="D3" s="32"/>
      <c r="E3" s="32"/>
      <c r="F3" s="32"/>
      <c r="G3" s="32"/>
      <c r="H3" s="33"/>
      <c r="I3" s="2"/>
      <c r="J3" s="2"/>
      <c r="K3" s="2"/>
    </row>
    <row r="4" spans="1:11">
      <c r="A4" s="55" t="s">
        <v>3</v>
      </c>
      <c r="B4" s="55"/>
      <c r="C4" s="55"/>
      <c r="D4" s="55"/>
      <c r="E4" s="55"/>
      <c r="F4" s="55"/>
      <c r="G4" s="55"/>
      <c r="H4" s="55"/>
      <c r="I4" s="56"/>
      <c r="J4" s="56"/>
      <c r="K4" s="56"/>
    </row>
    <row r="5" spans="1:11" ht="44.25" customHeight="1">
      <c r="A5" s="22" t="s">
        <v>12</v>
      </c>
      <c r="B5" s="19" t="s">
        <v>13</v>
      </c>
      <c r="C5" s="19" t="s">
        <v>14</v>
      </c>
      <c r="D5" s="19" t="s">
        <v>15</v>
      </c>
      <c r="E5" s="19" t="s">
        <v>16</v>
      </c>
      <c r="F5" s="19" t="s">
        <v>17</v>
      </c>
      <c r="G5" s="19" t="s">
        <v>18</v>
      </c>
      <c r="H5" s="25" t="s">
        <v>19</v>
      </c>
    </row>
    <row r="6" spans="1:11" ht="21.75" customHeight="1">
      <c r="A6" s="23" t="s">
        <v>20</v>
      </c>
      <c r="B6" s="20">
        <v>498.5</v>
      </c>
      <c r="C6" s="20">
        <v>1603.5</v>
      </c>
      <c r="D6" s="20">
        <v>4348</v>
      </c>
      <c r="E6" s="20">
        <v>11789.1</v>
      </c>
      <c r="F6" s="20">
        <v>5947.2</v>
      </c>
      <c r="G6" s="20">
        <v>3563.4</v>
      </c>
      <c r="H6" s="26">
        <v>13816</v>
      </c>
    </row>
    <row r="7" spans="1:11" ht="21.75" customHeight="1">
      <c r="A7" s="24" t="s">
        <v>21</v>
      </c>
      <c r="B7" s="21">
        <v>56.2</v>
      </c>
      <c r="C7" s="21">
        <v>206.5</v>
      </c>
      <c r="D7" s="21">
        <v>355.1</v>
      </c>
      <c r="E7" s="21">
        <v>1515.1</v>
      </c>
      <c r="F7" s="21">
        <v>605.1</v>
      </c>
      <c r="G7" s="21">
        <v>436.9</v>
      </c>
      <c r="H7" s="27">
        <v>1383.3</v>
      </c>
    </row>
    <row r="9" spans="1:11">
      <c r="A9" s="44" t="s">
        <v>22</v>
      </c>
    </row>
    <row r="10" spans="1:11">
      <c r="A10" s="45" t="s">
        <v>12</v>
      </c>
      <c r="B10" s="45" t="s">
        <v>13</v>
      </c>
      <c r="C10" s="45" t="s">
        <v>14</v>
      </c>
      <c r="D10" s="45" t="s">
        <v>15</v>
      </c>
      <c r="E10" s="45" t="s">
        <v>16</v>
      </c>
      <c r="F10" s="45" t="s">
        <v>17</v>
      </c>
      <c r="G10" s="45" t="s">
        <v>18</v>
      </c>
      <c r="H10" s="45" t="s">
        <v>19</v>
      </c>
    </row>
    <row r="11" spans="1:11">
      <c r="A11" s="46" t="s">
        <v>20</v>
      </c>
      <c r="B11" s="48">
        <f>B6/SUM($B6:$H6)</f>
        <v>1.1993061586837224E-2</v>
      </c>
      <c r="C11" s="48">
        <f>C6/SUM($B6:$H6)</f>
        <v>3.8577480951842505E-2</v>
      </c>
      <c r="D11" s="48">
        <f>D6/SUM($B6:$H6)</f>
        <v>0.1046054799991339</v>
      </c>
      <c r="E11" s="48">
        <f>E6/SUM($B6:$H6)</f>
        <v>0.28362568175202152</v>
      </c>
      <c r="F11" s="48">
        <f>F6/SUM($B6:$H6)</f>
        <v>0.14307951026928453</v>
      </c>
      <c r="G11" s="48">
        <f>G6/SUM($B6:$H6)</f>
        <v>8.572933933507676E-2</v>
      </c>
      <c r="H11" s="48">
        <f>H6/SUM($B6:$H6)</f>
        <v>0.33238944610580362</v>
      </c>
    </row>
    <row r="12" spans="1:11">
      <c r="A12" s="47" t="s">
        <v>21</v>
      </c>
      <c r="B12" s="49">
        <f>B7/SUM($B7:$H7)</f>
        <v>1.2329428283094204E-2</v>
      </c>
      <c r="C12" s="49">
        <f>C7/SUM($B7:$H7)</f>
        <v>4.5302970470799876E-2</v>
      </c>
      <c r="D12" s="49">
        <f>D7/SUM($B7:$H7)</f>
        <v>7.7903558422184202E-2</v>
      </c>
      <c r="E12" s="49">
        <f>E7/SUM($B7:$H7)</f>
        <v>0.33238997850028518</v>
      </c>
      <c r="F12" s="49">
        <f>F7/SUM($B7:$H7)</f>
        <v>0.13274976964591287</v>
      </c>
      <c r="G12" s="49">
        <f>G7/SUM($B7:$H7)</f>
        <v>9.5849238734588213E-2</v>
      </c>
      <c r="H12" s="49">
        <f>H7/SUM($B7:$H7)</f>
        <v>0.30347505594313545</v>
      </c>
    </row>
  </sheetData>
  <mergeCells count="3">
    <mergeCell ref="A4:K4"/>
    <mergeCell ref="A2:H2"/>
    <mergeCell ref="A3:H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F14F-5731-48AF-9521-3AC1579D6C68}">
  <dimension ref="A1:K10"/>
  <sheetViews>
    <sheetView topLeftCell="A3" workbookViewId="0">
      <selection activeCell="A7" sqref="A7"/>
    </sheetView>
  </sheetViews>
  <sheetFormatPr defaultRowHeight="15"/>
  <cols>
    <col min="1" max="1" width="43.85546875" customWidth="1"/>
    <col min="2" max="9" width="18.140625" customWidth="1"/>
  </cols>
  <sheetData>
    <row r="1" spans="1:11">
      <c r="A1" s="54" t="s">
        <v>0</v>
      </c>
    </row>
    <row r="2" spans="1:11" ht="38.25" customHeight="1">
      <c r="A2" s="28" t="s">
        <v>23</v>
      </c>
      <c r="B2" s="29"/>
      <c r="C2" s="29"/>
      <c r="D2" s="29"/>
      <c r="E2" s="29"/>
      <c r="F2" s="29"/>
      <c r="G2" s="29"/>
      <c r="H2" s="29"/>
      <c r="I2" s="29"/>
      <c r="J2" s="57"/>
      <c r="K2" s="58"/>
    </row>
    <row r="3" spans="1:11">
      <c r="A3" s="31" t="s">
        <v>24</v>
      </c>
      <c r="B3" s="32"/>
      <c r="C3" s="32"/>
      <c r="D3" s="32"/>
      <c r="E3" s="32"/>
      <c r="F3" s="32"/>
      <c r="G3" s="32"/>
      <c r="H3" s="32"/>
      <c r="I3" s="32"/>
      <c r="J3" s="59"/>
      <c r="K3" s="60"/>
    </row>
    <row r="4" spans="1:11">
      <c r="A4" s="55" t="s">
        <v>3</v>
      </c>
      <c r="B4" s="55"/>
      <c r="C4" s="55"/>
      <c r="D4" s="55"/>
      <c r="E4" s="55"/>
      <c r="F4" s="55"/>
      <c r="G4" s="55"/>
      <c r="H4" s="55"/>
      <c r="I4" s="55"/>
      <c r="J4" s="56"/>
      <c r="K4" s="56"/>
    </row>
    <row r="5" spans="1:11" ht="21.75" customHeight="1">
      <c r="A5" s="42" t="s">
        <v>25</v>
      </c>
      <c r="B5" s="37" t="s">
        <v>26</v>
      </c>
      <c r="C5" s="37"/>
      <c r="D5" s="37"/>
      <c r="E5" s="37"/>
      <c r="F5" s="37"/>
      <c r="G5" s="37"/>
      <c r="H5" s="37"/>
      <c r="I5" s="38"/>
    </row>
    <row r="6" spans="1:11" ht="21.75" customHeight="1">
      <c r="A6" s="43"/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8" t="s">
        <v>34</v>
      </c>
    </row>
    <row r="7" spans="1:11" ht="20.25" customHeight="1">
      <c r="A7" s="39" t="s">
        <v>35</v>
      </c>
      <c r="B7" s="40"/>
      <c r="C7" s="40"/>
      <c r="D7" s="40"/>
      <c r="E7" s="40"/>
      <c r="F7" s="40"/>
      <c r="G7" s="40"/>
      <c r="H7" s="40"/>
      <c r="I7" s="41"/>
    </row>
    <row r="8" spans="1:11" ht="20.25" customHeight="1">
      <c r="A8" s="6" t="s">
        <v>36</v>
      </c>
      <c r="B8" s="4">
        <v>1170024000</v>
      </c>
      <c r="C8" s="4">
        <v>1212276000</v>
      </c>
      <c r="D8" s="4">
        <v>1253710000</v>
      </c>
      <c r="E8" s="4">
        <v>1129214000</v>
      </c>
      <c r="F8" s="4">
        <v>1235474000</v>
      </c>
      <c r="G8" s="4">
        <v>1375863000</v>
      </c>
      <c r="H8" s="4">
        <v>1497761000</v>
      </c>
      <c r="I8" s="9">
        <v>1594330000</v>
      </c>
    </row>
    <row r="9" spans="1:11" ht="20.25" customHeight="1">
      <c r="A9" s="39" t="s">
        <v>37</v>
      </c>
      <c r="B9" s="40"/>
      <c r="C9" s="40"/>
      <c r="D9" s="40"/>
      <c r="E9" s="40"/>
      <c r="F9" s="40"/>
      <c r="G9" s="40"/>
      <c r="H9" s="40"/>
      <c r="I9" s="41"/>
    </row>
    <row r="10" spans="1:11" ht="20.25" customHeight="1">
      <c r="A10" s="7" t="s">
        <v>36</v>
      </c>
      <c r="B10" s="5">
        <v>108666712</v>
      </c>
      <c r="C10" s="5">
        <v>112749574</v>
      </c>
      <c r="D10" s="5">
        <v>116588528</v>
      </c>
      <c r="E10" s="5">
        <v>106067171</v>
      </c>
      <c r="F10" s="5">
        <v>116386906</v>
      </c>
      <c r="G10" s="5">
        <v>127583394</v>
      </c>
      <c r="H10" s="5">
        <v>139655905</v>
      </c>
      <c r="I10" s="10">
        <v>148283453</v>
      </c>
    </row>
  </sheetData>
  <mergeCells count="7">
    <mergeCell ref="B5:I5"/>
    <mergeCell ref="A7:I7"/>
    <mergeCell ref="A9:I9"/>
    <mergeCell ref="A5:A6"/>
    <mergeCell ref="A2:K2"/>
    <mergeCell ref="A3:K3"/>
    <mergeCell ref="A4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2026-04-24T15:26:37Z</dcterms:created>
  <dcterms:modified xsi:type="dcterms:W3CDTF">2026-04-24T17:12:21Z</dcterms:modified>
  <cp:category/>
  <cp:contentStatus/>
</cp:coreProperties>
</file>