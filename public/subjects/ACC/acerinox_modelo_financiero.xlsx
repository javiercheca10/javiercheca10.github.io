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66925"/>
  <mc:AlternateContent xmlns:mc="http://schemas.openxmlformats.org/markup-compatibility/2006">
    <mc:Choice Requires="x15">
      <x15ac:absPath xmlns:x15ac="http://schemas.microsoft.com/office/spreadsheetml/2010/11/ac" url="https://upvedues-my.sharepoint.com/personal/fjchecas_upv_edu_es/Documents/"/>
    </mc:Choice>
  </mc:AlternateContent>
  <xr:revisionPtr revIDLastSave="0" documentId="8_{9A98C543-A37E-45AA-BE82-9C115A1B4248}" xr6:coauthVersionLast="47" xr6:coauthVersionMax="47" xr10:uidLastSave="{00000000-0000-0000-0000-000000000000}"/>
  <bookViews>
    <workbookView xWindow="0" yWindow="640" windowWidth="29400" windowHeight="17180" firstSheet="11" activeTab="11" xr2:uid="{00000000-000D-0000-FFFF-FFFF00000000}"/>
  </bookViews>
  <sheets>
    <sheet name="BALANCE DE SITUACIÓN" sheetId="1" r:id="rId1"/>
    <sheet name="CUENTA DE PÉRDIDAS Y GANANCIAS" sheetId="3" r:id="rId2"/>
    <sheet name="RATIOS" sheetId="4" r:id="rId3"/>
    <sheet name="DATOS SECTOR" sheetId="10" r:id="rId4"/>
    <sheet name="COMPARATIVA SECTORIAL" sheetId="11" r:id="rId5"/>
    <sheet name="ANÁLISIS PATRIMONIAL" sheetId="9" r:id="rId6"/>
    <sheet name="ANÁLISIS ENDEUDAMIENTO" sheetId="6" r:id="rId7"/>
    <sheet name="ANÁLISIS LIQUIDEZ" sheetId="5" r:id="rId8"/>
    <sheet name="ANÁLISIS EOAF" sheetId="7" r:id="rId9"/>
    <sheet name="ANÁLISIS CUENTA PyG" sheetId="12" r:id="rId10"/>
    <sheet name="ANÁLISIS DEL FM" sheetId="13" r:id="rId11"/>
    <sheet name="EFE" sheetId="1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11" l="1"/>
  <c r="AF28" i="11"/>
  <c r="AE28" i="11"/>
  <c r="AD28" i="11"/>
  <c r="AJ27" i="11"/>
  <c r="AI27" i="11"/>
  <c r="AH26" i="11"/>
  <c r="AG26" i="11"/>
  <c r="AF21" i="11"/>
  <c r="AE21" i="11"/>
  <c r="AD21" i="11"/>
  <c r="AJ20" i="11"/>
  <c r="AI20" i="11"/>
  <c r="AH19" i="11"/>
  <c r="AG19" i="11"/>
  <c r="AF14" i="11"/>
  <c r="AE14" i="11"/>
  <c r="AD14" i="11"/>
  <c r="AJ13" i="11"/>
  <c r="AI13" i="11"/>
  <c r="AH12" i="11"/>
  <c r="AG12" i="11"/>
  <c r="AJ6" i="11"/>
  <c r="AF7" i="11"/>
  <c r="AE7" i="11"/>
  <c r="AD7" i="11"/>
  <c r="AI6" i="11"/>
  <c r="AH5" i="11"/>
  <c r="AG5" i="11"/>
  <c r="D7" i="11"/>
  <c r="E7" i="11"/>
  <c r="F7" i="11"/>
  <c r="D8" i="11"/>
  <c r="F8" i="11"/>
  <c r="E8" i="11" s="1"/>
  <c r="F9" i="11"/>
  <c r="D36" i="11"/>
  <c r="E36" i="11"/>
  <c r="F36" i="11"/>
  <c r="D37" i="11"/>
  <c r="E37" i="11"/>
  <c r="F38" i="11"/>
  <c r="T8" i="11"/>
  <c r="U8" i="11"/>
  <c r="V8" i="11"/>
  <c r="T9" i="11"/>
  <c r="V9" i="11"/>
  <c r="U9" i="11" s="1"/>
  <c r="V10" i="11"/>
  <c r="T38" i="11"/>
  <c r="U38" i="11"/>
  <c r="V38" i="11"/>
  <c r="T39" i="11"/>
  <c r="V39" i="11"/>
  <c r="U39" i="11" s="1"/>
  <c r="V40" i="11"/>
  <c r="C45" i="9"/>
  <c r="B45" i="9"/>
  <c r="C44" i="9"/>
  <c r="B44" i="9"/>
  <c r="C43" i="9"/>
  <c r="B43" i="9"/>
  <c r="C42" i="9"/>
  <c r="B42" i="9"/>
  <c r="C91" i="15"/>
  <c r="B91" i="15"/>
  <c r="C52" i="15"/>
  <c r="B52" i="15"/>
  <c r="D47" i="15"/>
  <c r="C47" i="15"/>
  <c r="B47" i="15"/>
  <c r="D45" i="15"/>
  <c r="C45" i="15"/>
  <c r="B45" i="15"/>
  <c r="D44" i="15"/>
  <c r="C44" i="15"/>
  <c r="B44" i="15"/>
  <c r="D37" i="15"/>
  <c r="C37" i="15"/>
  <c r="B37" i="15"/>
  <c r="D46" i="15"/>
  <c r="D41" i="15"/>
  <c r="D40" i="15"/>
  <c r="D39" i="15"/>
  <c r="D38" i="15"/>
  <c r="D36" i="15"/>
  <c r="C55" i="15"/>
  <c r="B55" i="15"/>
  <c r="D55" i="15" s="1"/>
  <c r="C86" i="15"/>
  <c r="C54" i="15"/>
  <c r="B54" i="15"/>
  <c r="D54" i="15" s="1"/>
  <c r="D35" i="15"/>
  <c r="D34" i="15"/>
  <c r="D33" i="15"/>
  <c r="D32" i="15"/>
  <c r="C31" i="15"/>
  <c r="B31" i="15"/>
  <c r="D31" i="15" s="1"/>
  <c r="C30" i="15"/>
  <c r="C57" i="15" s="1"/>
  <c r="B30" i="15"/>
  <c r="D28" i="15"/>
  <c r="D27" i="15"/>
  <c r="D26" i="15"/>
  <c r="C25" i="15"/>
  <c r="B25" i="15"/>
  <c r="D25" i="15" s="1"/>
  <c r="D24" i="15"/>
  <c r="D23" i="15"/>
  <c r="D22" i="15"/>
  <c r="D21" i="15"/>
  <c r="D20" i="15"/>
  <c r="C19" i="15"/>
  <c r="C53" i="15" s="1"/>
  <c r="B19" i="15"/>
  <c r="D16" i="15"/>
  <c r="D15" i="15"/>
  <c r="D14" i="15"/>
  <c r="D13" i="15"/>
  <c r="D12" i="15"/>
  <c r="D11" i="15"/>
  <c r="D10" i="15"/>
  <c r="D9" i="15"/>
  <c r="C8" i="15"/>
  <c r="B8" i="15"/>
  <c r="D8" i="15" s="1"/>
  <c r="D7" i="15"/>
  <c r="C6" i="15"/>
  <c r="B6" i="15"/>
  <c r="C42" i="13"/>
  <c r="B42" i="13"/>
  <c r="C20" i="4"/>
  <c r="B20" i="4"/>
  <c r="C40" i="12"/>
  <c r="B40" i="12"/>
  <c r="C39" i="12"/>
  <c r="B39" i="12"/>
  <c r="C24" i="4"/>
  <c r="B24" i="4"/>
  <c r="C23" i="4"/>
  <c r="B23" i="4"/>
  <c r="C14" i="4"/>
  <c r="B14" i="4"/>
  <c r="C43" i="13"/>
  <c r="B43" i="13"/>
  <c r="C41" i="13"/>
  <c r="B41" i="13"/>
  <c r="C40" i="13"/>
  <c r="B40" i="13"/>
  <c r="C39" i="13"/>
  <c r="B39" i="13"/>
  <c r="C38" i="13"/>
  <c r="B38" i="13"/>
  <c r="C36" i="13"/>
  <c r="B36" i="13"/>
  <c r="C35" i="13"/>
  <c r="C37" i="13" s="1"/>
  <c r="B35" i="13"/>
  <c r="B37" i="13" s="1"/>
  <c r="C34" i="13"/>
  <c r="B34" i="13"/>
  <c r="C26" i="13"/>
  <c r="B26" i="13"/>
  <c r="D26" i="13" s="1"/>
  <c r="E26" i="13" s="1"/>
  <c r="C25" i="13"/>
  <c r="C27" i="13" s="1"/>
  <c r="B25" i="13"/>
  <c r="C23" i="13"/>
  <c r="B23" i="13"/>
  <c r="D23" i="13" s="1"/>
  <c r="E23" i="13" s="1"/>
  <c r="C22" i="13"/>
  <c r="B22" i="13"/>
  <c r="D22" i="13" s="1"/>
  <c r="E22" i="13" s="1"/>
  <c r="C21" i="13"/>
  <c r="C24" i="13" s="1"/>
  <c r="C28" i="13" s="1"/>
  <c r="B21" i="13"/>
  <c r="C16" i="13"/>
  <c r="C17" i="13" s="1"/>
  <c r="B16" i="13"/>
  <c r="C14" i="13"/>
  <c r="B14" i="13"/>
  <c r="D14" i="13" s="1"/>
  <c r="E14" i="13" s="1"/>
  <c r="C13" i="13"/>
  <c r="B13" i="13"/>
  <c r="D13" i="13" s="1"/>
  <c r="E13" i="13" s="1"/>
  <c r="C12" i="13"/>
  <c r="C15" i="13" s="1"/>
  <c r="C18" i="13" s="1"/>
  <c r="C29" i="13" s="1"/>
  <c r="B12" i="13"/>
  <c r="C7" i="13"/>
  <c r="B7" i="13"/>
  <c r="C8" i="13"/>
  <c r="C9" i="13" s="1"/>
  <c r="B8" i="13"/>
  <c r="D7" i="13"/>
  <c r="E7" i="13" s="1"/>
  <c r="B112" i="12"/>
  <c r="C96" i="12"/>
  <c r="B96" i="12"/>
  <c r="C95" i="12"/>
  <c r="B95" i="12"/>
  <c r="B106" i="12"/>
  <c r="C97" i="12"/>
  <c r="B97" i="12"/>
  <c r="C37" i="12"/>
  <c r="C38" i="12" s="1"/>
  <c r="B37" i="12"/>
  <c r="B38" i="12" s="1"/>
  <c r="C36" i="12"/>
  <c r="B36" i="12"/>
  <c r="C21" i="12"/>
  <c r="B21" i="12"/>
  <c r="C19" i="12"/>
  <c r="B19" i="12"/>
  <c r="C18" i="12"/>
  <c r="B18" i="12"/>
  <c r="C17" i="12"/>
  <c r="B17" i="12"/>
  <c r="C15" i="12"/>
  <c r="B15" i="12"/>
  <c r="C14" i="12"/>
  <c r="B14" i="12"/>
  <c r="C12" i="12"/>
  <c r="B12" i="12"/>
  <c r="C10" i="12"/>
  <c r="B10" i="12"/>
  <c r="C9" i="12"/>
  <c r="B9" i="12"/>
  <c r="C7" i="12"/>
  <c r="B7" i="12"/>
  <c r="C6" i="12"/>
  <c r="B6" i="12"/>
  <c r="C56" i="12"/>
  <c r="B56" i="12"/>
  <c r="C55" i="12"/>
  <c r="C73" i="12" s="1"/>
  <c r="B55" i="12"/>
  <c r="B73" i="12" s="1"/>
  <c r="C57" i="12"/>
  <c r="B57" i="12"/>
  <c r="C5" i="7"/>
  <c r="B5" i="7"/>
  <c r="C7" i="7"/>
  <c r="B7" i="7"/>
  <c r="C13" i="7"/>
  <c r="B13" i="7"/>
  <c r="C12" i="7"/>
  <c r="B12" i="7"/>
  <c r="C11" i="7"/>
  <c r="B11" i="7"/>
  <c r="C10" i="7"/>
  <c r="B10" i="7"/>
  <c r="C9" i="7"/>
  <c r="B9" i="7"/>
  <c r="C8" i="7"/>
  <c r="C6" i="7"/>
  <c r="B6" i="7"/>
  <c r="F148" i="1"/>
  <c r="E148" i="1"/>
  <c r="F147" i="1"/>
  <c r="E147" i="1"/>
  <c r="F145" i="1"/>
  <c r="E145" i="1"/>
  <c r="F144" i="1"/>
  <c r="E144" i="1"/>
  <c r="F143" i="1"/>
  <c r="E143" i="1"/>
  <c r="F142" i="1"/>
  <c r="E142" i="1"/>
  <c r="F140" i="1"/>
  <c r="E140" i="1"/>
  <c r="F137" i="1"/>
  <c r="E137" i="1"/>
  <c r="F136" i="1"/>
  <c r="E136" i="1"/>
  <c r="F134" i="1"/>
  <c r="E134" i="1"/>
  <c r="F121" i="1"/>
  <c r="E121" i="1"/>
  <c r="F118" i="1"/>
  <c r="E118" i="1"/>
  <c r="F115" i="1"/>
  <c r="E115" i="1"/>
  <c r="F112" i="1"/>
  <c r="E112" i="1"/>
  <c r="F92" i="1"/>
  <c r="E92" i="1"/>
  <c r="F91" i="1"/>
  <c r="E91" i="1"/>
  <c r="F87" i="1"/>
  <c r="E87" i="1"/>
  <c r="F85" i="1"/>
  <c r="E85" i="1"/>
  <c r="F77" i="1"/>
  <c r="E77" i="1"/>
  <c r="F73" i="1"/>
  <c r="F72" i="1"/>
  <c r="E72" i="1"/>
  <c r="E63" i="1"/>
  <c r="F59" i="1"/>
  <c r="E59" i="1"/>
  <c r="F58" i="1"/>
  <c r="E58" i="1"/>
  <c r="F57" i="1"/>
  <c r="E57" i="1"/>
  <c r="F56" i="1"/>
  <c r="E56" i="1"/>
  <c r="F55" i="1"/>
  <c r="E55" i="1"/>
  <c r="F54" i="1"/>
  <c r="E54" i="1"/>
  <c r="F52" i="1"/>
  <c r="E52" i="1"/>
  <c r="F49" i="1"/>
  <c r="E49" i="1"/>
  <c r="F48" i="1"/>
  <c r="E48" i="1"/>
  <c r="F46" i="1"/>
  <c r="E46" i="1"/>
  <c r="F45" i="1"/>
  <c r="E45" i="1"/>
  <c r="F43" i="1"/>
  <c r="E43" i="1"/>
  <c r="F42" i="1"/>
  <c r="E42" i="1"/>
  <c r="F40" i="1"/>
  <c r="E40" i="1"/>
  <c r="F32" i="1"/>
  <c r="E32" i="1"/>
  <c r="F28" i="1"/>
  <c r="E28" i="1"/>
  <c r="F21" i="1"/>
  <c r="E21" i="1"/>
  <c r="F19" i="1"/>
  <c r="E19" i="1"/>
  <c r="F18" i="1"/>
  <c r="E18" i="1"/>
  <c r="F16" i="1"/>
  <c r="E16" i="1"/>
  <c r="F15" i="1"/>
  <c r="E15" i="1"/>
  <c r="F14" i="1"/>
  <c r="E14" i="1"/>
  <c r="F12" i="1"/>
  <c r="F10" i="1"/>
  <c r="E10" i="1"/>
  <c r="F9" i="1"/>
  <c r="E9" i="1"/>
  <c r="E7" i="4"/>
  <c r="D7" i="4"/>
  <c r="E5" i="4"/>
  <c r="D5" i="4"/>
  <c r="E20" i="4"/>
  <c r="D20" i="4"/>
  <c r="E17" i="4"/>
  <c r="D17" i="4"/>
  <c r="E6" i="4"/>
  <c r="D6" i="4"/>
  <c r="E13" i="4"/>
  <c r="D13" i="4"/>
  <c r="E11" i="4"/>
  <c r="D11" i="4"/>
  <c r="E9" i="4"/>
  <c r="D9" i="4"/>
  <c r="E3" i="4"/>
  <c r="D3" i="4"/>
  <c r="E12" i="4"/>
  <c r="D12" i="4"/>
  <c r="E10" i="4"/>
  <c r="D10" i="4"/>
  <c r="H2" i="4"/>
  <c r="C10" i="9"/>
  <c r="M7" i="9" s="1"/>
  <c r="B10" i="9"/>
  <c r="M5" i="9" s="1"/>
  <c r="C9" i="9"/>
  <c r="L7" i="9" s="1"/>
  <c r="B9" i="9"/>
  <c r="L5" i="9" s="1"/>
  <c r="C8" i="9"/>
  <c r="K7" i="9" s="1"/>
  <c r="B8" i="9"/>
  <c r="K5" i="9" s="1"/>
  <c r="C6" i="9"/>
  <c r="J6" i="9" s="1"/>
  <c r="B6" i="9"/>
  <c r="J4" i="9" s="1"/>
  <c r="C5" i="9"/>
  <c r="I6" i="9" s="1"/>
  <c r="B5" i="9"/>
  <c r="I4" i="9" s="1"/>
  <c r="C9" i="6"/>
  <c r="C5" i="4"/>
  <c r="B5" i="4"/>
  <c r="C4" i="4"/>
  <c r="C4" i="5" s="1"/>
  <c r="B4" i="4"/>
  <c r="C5" i="5"/>
  <c r="B5" i="5"/>
  <c r="B4" i="5"/>
  <c r="C3" i="4"/>
  <c r="C3" i="5" s="1"/>
  <c r="B9" i="4"/>
  <c r="B3" i="6" s="1"/>
  <c r="B21" i="4"/>
  <c r="C21" i="4"/>
  <c r="F139" i="1"/>
  <c r="F138" i="1"/>
  <c r="F132" i="1"/>
  <c r="F123" i="1"/>
  <c r="F116" i="1"/>
  <c r="F111" i="1"/>
  <c r="F109" i="1"/>
  <c r="F100" i="1"/>
  <c r="F99" i="1"/>
  <c r="F96" i="1"/>
  <c r="F90" i="1"/>
  <c r="F89" i="1"/>
  <c r="F86" i="1"/>
  <c r="E139" i="1"/>
  <c r="E138" i="1"/>
  <c r="E132" i="1"/>
  <c r="E123" i="1"/>
  <c r="E116" i="1"/>
  <c r="E111" i="1"/>
  <c r="E86" i="1"/>
  <c r="E109" i="1"/>
  <c r="E100" i="1"/>
  <c r="E99" i="1"/>
  <c r="E96" i="1"/>
  <c r="E90" i="1"/>
  <c r="E89" i="1"/>
  <c r="E76" i="1"/>
  <c r="E75" i="1"/>
  <c r="E68" i="1"/>
  <c r="E61" i="1"/>
  <c r="E51" i="1"/>
  <c r="E38" i="1"/>
  <c r="F76" i="1"/>
  <c r="F75" i="1"/>
  <c r="F68" i="1"/>
  <c r="F51" i="1"/>
  <c r="F38" i="1"/>
  <c r="F34" i="1"/>
  <c r="F27" i="1"/>
  <c r="F20" i="1"/>
  <c r="F17" i="1"/>
  <c r="F13" i="1"/>
  <c r="F4" i="1"/>
  <c r="E34" i="1"/>
  <c r="E27" i="1"/>
  <c r="E20" i="1"/>
  <c r="E17" i="1"/>
  <c r="E13" i="1"/>
  <c r="E4" i="1"/>
  <c r="C19" i="4"/>
  <c r="B19" i="4"/>
  <c r="C18" i="4"/>
  <c r="B18" i="4"/>
  <c r="C17" i="4"/>
  <c r="B17" i="4"/>
  <c r="B9" i="6"/>
  <c r="C8" i="6"/>
  <c r="B8" i="6"/>
  <c r="B3" i="4"/>
  <c r="B3" i="5" s="1"/>
  <c r="C13" i="4"/>
  <c r="C7" i="6" s="1"/>
  <c r="B13" i="4"/>
  <c r="B7" i="6" s="1"/>
  <c r="H3" i="4"/>
  <c r="C12" i="4"/>
  <c r="C6" i="6" s="1"/>
  <c r="C11" i="4"/>
  <c r="C5" i="6" s="1"/>
  <c r="B12" i="4"/>
  <c r="B6" i="6" s="1"/>
  <c r="B11" i="4"/>
  <c r="B5" i="6" s="1"/>
  <c r="C10" i="4"/>
  <c r="C4" i="6" s="1"/>
  <c r="B10" i="4"/>
  <c r="B4" i="6" s="1"/>
  <c r="C9" i="4"/>
  <c r="C3" i="6" s="1"/>
  <c r="B46" i="9" l="1"/>
  <c r="C46" i="9"/>
  <c r="F42" i="9"/>
  <c r="D42" i="9"/>
  <c r="E42" i="9" s="1"/>
  <c r="F43" i="9"/>
  <c r="D43" i="9"/>
  <c r="E43" i="9" s="1"/>
  <c r="F44" i="9"/>
  <c r="D44" i="9"/>
  <c r="E44" i="9" s="1"/>
  <c r="F45" i="9"/>
  <c r="D45" i="9"/>
  <c r="E45" i="9" s="1"/>
  <c r="C90" i="15"/>
  <c r="B90" i="15"/>
  <c r="D6" i="15"/>
  <c r="B56" i="15"/>
  <c r="C56" i="15"/>
  <c r="C59" i="15"/>
  <c r="D19" i="15"/>
  <c r="B53" i="15"/>
  <c r="D53" i="15" s="1"/>
  <c r="D30" i="15"/>
  <c r="B57" i="15"/>
  <c r="D57" i="15" s="1"/>
  <c r="B86" i="15"/>
  <c r="D52" i="15"/>
  <c r="B15" i="13"/>
  <c r="D12" i="13"/>
  <c r="E12" i="13" s="1"/>
  <c r="B17" i="13"/>
  <c r="D17" i="13" s="1"/>
  <c r="E17" i="13" s="1"/>
  <c r="D16" i="13"/>
  <c r="E16" i="13" s="1"/>
  <c r="B24" i="13"/>
  <c r="D21" i="13"/>
  <c r="E21" i="13" s="1"/>
  <c r="B27" i="13"/>
  <c r="D27" i="13" s="1"/>
  <c r="E27" i="13" s="1"/>
  <c r="D25" i="13"/>
  <c r="E25" i="13" s="1"/>
  <c r="B46" i="13"/>
  <c r="C46" i="13"/>
  <c r="B47" i="13"/>
  <c r="C47" i="13"/>
  <c r="B48" i="13"/>
  <c r="C48" i="13"/>
  <c r="B49" i="13"/>
  <c r="C49" i="13"/>
  <c r="B51" i="13"/>
  <c r="C51" i="13"/>
  <c r="B9" i="13"/>
  <c r="D9" i="13" s="1"/>
  <c r="E9" i="13" s="1"/>
  <c r="D8" i="13"/>
  <c r="E8" i="13" s="1"/>
  <c r="D6" i="12"/>
  <c r="F6" i="12"/>
  <c r="G6" i="12" s="1"/>
  <c r="B8" i="12"/>
  <c r="E6" i="12"/>
  <c r="C8" i="12"/>
  <c r="D7" i="12"/>
  <c r="F7" i="12"/>
  <c r="G7" i="12" s="1"/>
  <c r="E7" i="12"/>
  <c r="D9" i="12"/>
  <c r="F9" i="12"/>
  <c r="G9" i="12" s="1"/>
  <c r="E9" i="12"/>
  <c r="D10" i="12"/>
  <c r="F10" i="12"/>
  <c r="G10" i="12" s="1"/>
  <c r="E10" i="12"/>
  <c r="D12" i="12"/>
  <c r="F12" i="12"/>
  <c r="G12" i="12" s="1"/>
  <c r="E12" i="12"/>
  <c r="D14" i="12"/>
  <c r="F14" i="12"/>
  <c r="G14" i="12" s="1"/>
  <c r="E14" i="12"/>
  <c r="D15" i="12"/>
  <c r="F15" i="12"/>
  <c r="G15" i="12" s="1"/>
  <c r="E15" i="12"/>
  <c r="D17" i="12"/>
  <c r="F17" i="12"/>
  <c r="G17" i="12" s="1"/>
  <c r="E17" i="12"/>
  <c r="B58" i="12"/>
  <c r="D18" i="12"/>
  <c r="F18" i="12"/>
  <c r="G18" i="12" s="1"/>
  <c r="C58" i="12"/>
  <c r="E18" i="12"/>
  <c r="D19" i="12"/>
  <c r="F19" i="12"/>
  <c r="G19" i="12" s="1"/>
  <c r="E19" i="12"/>
  <c r="D21" i="12"/>
  <c r="F21" i="12"/>
  <c r="G21" i="12" s="1"/>
  <c r="E21" i="12"/>
  <c r="B51" i="12"/>
  <c r="C51" i="12"/>
  <c r="B83" i="12"/>
  <c r="C83" i="12"/>
  <c r="F18" i="7"/>
  <c r="D5" i="7"/>
  <c r="E8" i="7"/>
  <c r="D8" i="7"/>
  <c r="C19" i="7" s="1"/>
  <c r="D9" i="7"/>
  <c r="D10" i="7"/>
  <c r="D11" i="7"/>
  <c r="D12" i="7"/>
  <c r="D13" i="7"/>
  <c r="D7" i="7"/>
  <c r="B7" i="9"/>
  <c r="C7" i="9"/>
  <c r="D5" i="9"/>
  <c r="F5" i="9" s="1"/>
  <c r="B25" i="9"/>
  <c r="B16" i="9"/>
  <c r="C25" i="9"/>
  <c r="C16" i="9"/>
  <c r="D16" i="9" s="1"/>
  <c r="D6" i="9"/>
  <c r="F6" i="9" s="1"/>
  <c r="B11" i="9"/>
  <c r="C11" i="9"/>
  <c r="D8" i="9"/>
  <c r="F8" i="9" s="1"/>
  <c r="B19" i="9"/>
  <c r="C19" i="9"/>
  <c r="D19" i="9" s="1"/>
  <c r="D9" i="9"/>
  <c r="F9" i="9" s="1"/>
  <c r="B26" i="9"/>
  <c r="B20" i="9"/>
  <c r="C26" i="9"/>
  <c r="D26" i="9" s="1"/>
  <c r="C20" i="9"/>
  <c r="D20" i="9" s="1"/>
  <c r="D10" i="9"/>
  <c r="F10" i="9" s="1"/>
  <c r="B7" i="4"/>
  <c r="B7" i="5" s="1"/>
  <c r="B6" i="4"/>
  <c r="B6" i="5" s="1"/>
  <c r="C6" i="4"/>
  <c r="C6" i="5" s="1"/>
  <c r="C7" i="4"/>
  <c r="C7" i="5" s="1"/>
  <c r="F46" i="9" l="1"/>
  <c r="D46" i="9"/>
  <c r="E46" i="9"/>
  <c r="C89" i="15"/>
  <c r="C88" i="15"/>
  <c r="C85" i="15"/>
  <c r="C58" i="15"/>
  <c r="B59" i="15"/>
  <c r="B89" i="15"/>
  <c r="B88" i="15"/>
  <c r="B85" i="15"/>
  <c r="B58" i="15"/>
  <c r="D56" i="15"/>
  <c r="D51" i="13"/>
  <c r="D49" i="13"/>
  <c r="D48" i="13"/>
  <c r="D47" i="13"/>
  <c r="C50" i="13"/>
  <c r="C52" i="13" s="1"/>
  <c r="B50" i="13"/>
  <c r="D46" i="13"/>
  <c r="B28" i="13"/>
  <c r="D28" i="13" s="1"/>
  <c r="E28" i="13" s="1"/>
  <c r="D24" i="13"/>
  <c r="E24" i="13" s="1"/>
  <c r="B18" i="13"/>
  <c r="D15" i="13"/>
  <c r="E15" i="13" s="1"/>
  <c r="E8" i="12"/>
  <c r="C11" i="12"/>
  <c r="D8" i="12"/>
  <c r="F8" i="12"/>
  <c r="G8" i="12" s="1"/>
  <c r="B11" i="12"/>
  <c r="C71" i="12"/>
  <c r="C63" i="12"/>
  <c r="B71" i="12"/>
  <c r="B63" i="12"/>
  <c r="F17" i="7"/>
  <c r="E7" i="7"/>
  <c r="F23" i="7"/>
  <c r="E13" i="7"/>
  <c r="C21" i="7"/>
  <c r="E12" i="7"/>
  <c r="F22" i="7"/>
  <c r="E11" i="7"/>
  <c r="F21" i="7"/>
  <c r="E10" i="7"/>
  <c r="C18" i="7"/>
  <c r="E9" i="7"/>
  <c r="C17" i="7"/>
  <c r="E5" i="7"/>
  <c r="E10" i="9"/>
  <c r="E9" i="9"/>
  <c r="E8" i="9"/>
  <c r="D11" i="9"/>
  <c r="C18" i="9"/>
  <c r="E11" i="9"/>
  <c r="B18" i="9"/>
  <c r="B21" i="9" s="1"/>
  <c r="E6" i="9"/>
  <c r="C27" i="9"/>
  <c r="D25" i="9"/>
  <c r="B27" i="9"/>
  <c r="E5" i="9"/>
  <c r="D7" i="9"/>
  <c r="C15" i="9"/>
  <c r="E7" i="9"/>
  <c r="B15" i="9"/>
  <c r="B17" i="9" s="1"/>
  <c r="B87" i="15" l="1"/>
  <c r="B60" i="15"/>
  <c r="D58" i="15"/>
  <c r="D59" i="15"/>
  <c r="C87" i="15"/>
  <c r="C60" i="15"/>
  <c r="B29" i="13"/>
  <c r="D18" i="13"/>
  <c r="E18" i="13" s="1"/>
  <c r="B52" i="13"/>
  <c r="D52" i="13" s="1"/>
  <c r="D50" i="13"/>
  <c r="D11" i="12"/>
  <c r="F11" i="12"/>
  <c r="G11" i="12" s="1"/>
  <c r="B13" i="12"/>
  <c r="E11" i="12"/>
  <c r="C13" i="12"/>
  <c r="C24" i="7"/>
  <c r="F19" i="7"/>
  <c r="F24" i="7"/>
  <c r="C17" i="9"/>
  <c r="D15" i="9"/>
  <c r="B29" i="9"/>
  <c r="B28" i="9"/>
  <c r="C29" i="9"/>
  <c r="C28" i="9"/>
  <c r="D27" i="9"/>
  <c r="C21" i="9"/>
  <c r="D18" i="9"/>
  <c r="D60" i="15" l="1"/>
  <c r="E13" i="12"/>
  <c r="C16" i="12"/>
  <c r="D13" i="12"/>
  <c r="F13" i="12"/>
  <c r="G13" i="12" s="1"/>
  <c r="B16" i="12"/>
  <c r="B52" i="12" l="1"/>
  <c r="D16" i="12"/>
  <c r="F16" i="12"/>
  <c r="G16" i="12" s="1"/>
  <c r="B20" i="12"/>
  <c r="C52" i="12"/>
  <c r="E16" i="12"/>
  <c r="C20" i="12"/>
  <c r="C53" i="12" l="1"/>
  <c r="C74" i="12" s="1"/>
  <c r="C75" i="12" s="1"/>
  <c r="C85" i="12" s="1"/>
  <c r="E20" i="12"/>
  <c r="C22" i="12"/>
  <c r="C72" i="12"/>
  <c r="C66" i="12"/>
  <c r="C64" i="12"/>
  <c r="C65" i="12" s="1"/>
  <c r="C82" i="12" s="1"/>
  <c r="C84" i="12" s="1"/>
  <c r="B53" i="12"/>
  <c r="B74" i="12" s="1"/>
  <c r="B75" i="12" s="1"/>
  <c r="B85" i="12" s="1"/>
  <c r="D20" i="12"/>
  <c r="F20" i="12"/>
  <c r="G20" i="12" s="1"/>
  <c r="B22" i="12"/>
  <c r="B72" i="12"/>
  <c r="B66" i="12"/>
  <c r="B64" i="12"/>
  <c r="B65" i="12" s="1"/>
  <c r="B82" i="12" s="1"/>
  <c r="B84" i="12" s="1"/>
  <c r="B54" i="12" l="1"/>
  <c r="D22" i="12"/>
  <c r="F22" i="12"/>
  <c r="G22" i="12" s="1"/>
  <c r="C54" i="12"/>
  <c r="E22" i="12"/>
  <c r="C78" i="12" l="1"/>
  <c r="C76" i="12"/>
  <c r="C77" i="12" s="1"/>
  <c r="B78" i="12"/>
  <c r="B76" i="12"/>
  <c r="B77" i="12" s="1"/>
</calcChain>
</file>

<file path=xl/sharedStrings.xml><?xml version="1.0" encoding="utf-8"?>
<sst xmlns="http://schemas.openxmlformats.org/spreadsheetml/2006/main" count="1320" uniqueCount="780">
  <si>
    <t>BALANCE DE SITUACIÓN NORMAL</t>
  </si>
  <si>
    <t>Hecho por:</t>
  </si>
  <si>
    <t>ACTIVO</t>
  </si>
  <si>
    <r>
      <t xml:space="preserve">EJERCICIO </t>
    </r>
    <r>
      <rPr>
        <i/>
        <sz val="11"/>
        <color theme="1"/>
        <rFont val="Calibri"/>
        <family val="2"/>
        <scheme val="minor"/>
      </rPr>
      <t>2023</t>
    </r>
  </si>
  <si>
    <r>
      <t xml:space="preserve">EJERCICIO </t>
    </r>
    <r>
      <rPr>
        <i/>
        <sz val="11"/>
        <color theme="1"/>
        <rFont val="Calibri"/>
        <family val="2"/>
        <scheme val="minor"/>
      </rPr>
      <t>2022</t>
    </r>
  </si>
  <si>
    <t>PORCENTAJES 2023</t>
  </si>
  <si>
    <t>PORCENTAJES 2022</t>
  </si>
  <si>
    <t>Francisco Javier Checa Casas</t>
  </si>
  <si>
    <t>A) ACTIVO NO CORRIENTE</t>
  </si>
  <si>
    <t>Tomasso Sgroi</t>
  </si>
  <si>
    <t>I. Inmovilizado Intangible</t>
  </si>
  <si>
    <t>1. Desarrollo</t>
  </si>
  <si>
    <t>2. Concesiones</t>
  </si>
  <si>
    <t>3. Patentes, licencias, marcas y similares</t>
  </si>
  <si>
    <t>4. Fondo de comercio</t>
  </si>
  <si>
    <t>5. Aplicaciones informáticas</t>
  </si>
  <si>
    <t>6. Investigación</t>
  </si>
  <si>
    <t>7. Propiedad intelectual</t>
  </si>
  <si>
    <t>8. Otro inmovilizado intangible</t>
  </si>
  <si>
    <t>II. Inmovilizado material</t>
  </si>
  <si>
    <t>1. Terrenos y construcciones</t>
  </si>
  <si>
    <t>2. Instalaciones técnicas y otro inmovilizado material</t>
  </si>
  <si>
    <t>3. Inmovilizado en curso y anticipos</t>
  </si>
  <si>
    <t>III. Inversiones inmobiliarias</t>
  </si>
  <si>
    <t>1. Terrenos</t>
  </si>
  <si>
    <t>2. Construcciones</t>
  </si>
  <si>
    <t>IV. Inversiones en empresas de grupo y asociadas a largo plazo</t>
  </si>
  <si>
    <t>1. Instrumentos de patrimonio</t>
  </si>
  <si>
    <t>2. Créditos a empresas</t>
  </si>
  <si>
    <t>3. Valores representativos de deuda</t>
  </si>
  <si>
    <t>4. Derivados</t>
  </si>
  <si>
    <t>5. Otros activos financieros</t>
  </si>
  <si>
    <t>6. Otras inversiones</t>
  </si>
  <si>
    <t>V. Inversiones financieras a largo plazo</t>
  </si>
  <si>
    <t>2. Créditos a terceros</t>
  </si>
  <si>
    <t>VI. Activos por Impuesto diferido</t>
  </si>
  <si>
    <t>VII. Deudores comerciales no corrientes</t>
  </si>
  <si>
    <t>B) ACTIVO CORRIENTE</t>
  </si>
  <si>
    <t>I. Activos no corrientes mantenidos para la venta</t>
  </si>
  <si>
    <t>II. Existencias</t>
  </si>
  <si>
    <t>1. Comerciales</t>
  </si>
  <si>
    <t>2. Materias primas y otros aprovisionamientos</t>
  </si>
  <si>
    <t>a) Materias primas y otros aprovisionamientos a largo plazo</t>
  </si>
  <si>
    <t>b) Materias primas y otros aprovisionamientos a corto plazo</t>
  </si>
  <si>
    <t>3. Productos en curso</t>
  </si>
  <si>
    <t>a) De ciclo largo de producción</t>
  </si>
  <si>
    <t>b) De ciclo corto de producción</t>
  </si>
  <si>
    <t>4. Productos terminados</t>
  </si>
  <si>
    <t xml:space="preserve">5. Subproductos, residuos y materias recuperados </t>
  </si>
  <si>
    <t>6. Anticipos a proveedores</t>
  </si>
  <si>
    <t>III. Deudores comercuales y otras cuentas a cobrar</t>
  </si>
  <si>
    <t>1. Clientes por ventas y prestaciones de servicios</t>
  </si>
  <si>
    <t>a) Clientes por ventas y prestaciones de servicios a largo plazo</t>
  </si>
  <si>
    <t>b) Clientes por ventas y prestaciones de servicios a corto plazo</t>
  </si>
  <si>
    <t>2. Clientes empresas del grupo y asociadas</t>
  </si>
  <si>
    <t>3. Deudores varios</t>
  </si>
  <si>
    <t>4. Personal</t>
  </si>
  <si>
    <t>5. Activos por impuesto corriente</t>
  </si>
  <si>
    <t>6. Otros créditos con las Administraciones Públicas</t>
  </si>
  <si>
    <t>7. Accionistas (socios) por desembolsos exigidos</t>
  </si>
  <si>
    <t>IV. Inversiones en empresas del grupo y asociadas a corto plazo</t>
  </si>
  <si>
    <t>V. Inversiones financieras a corto plazo</t>
  </si>
  <si>
    <t>VI. Periodificaciones a corto plazo</t>
  </si>
  <si>
    <t>VII. Efectivo y otros activos líquidos equivalentes</t>
  </si>
  <si>
    <t>1. Tesorería</t>
  </si>
  <si>
    <t>2. Otros activos líquidos equivalentes</t>
  </si>
  <si>
    <t>TOTAL ACTIVO (A+B)</t>
  </si>
  <si>
    <t>PATRIMONIO NETO Y PASIVO</t>
  </si>
  <si>
    <t>A) PATRIMONIO NETO</t>
  </si>
  <si>
    <t>A-1) Fondos propios</t>
  </si>
  <si>
    <t>I. Capital</t>
  </si>
  <si>
    <t>1. Capital escriturado</t>
  </si>
  <si>
    <t>2. (Capital no exigido)</t>
  </si>
  <si>
    <t>II. Prima de emisión</t>
  </si>
  <si>
    <t>III. Reservas</t>
  </si>
  <si>
    <t>1. Legal y estatutarias</t>
  </si>
  <si>
    <t>2. Otras reservas</t>
  </si>
  <si>
    <t>3. Reserva de revalorización</t>
  </si>
  <si>
    <t>4. Reserva de capitalización</t>
  </si>
  <si>
    <t>IV. (Acciones y participaciones en patrimonio propias)</t>
  </si>
  <si>
    <t>V. Resultados de ejercicios anteriores</t>
  </si>
  <si>
    <t>1. Remanente</t>
  </si>
  <si>
    <t>2. (Resultados negativos de ejercicios anteriores)</t>
  </si>
  <si>
    <t>VI. Otras aportaciones de socios</t>
  </si>
  <si>
    <t>VII. Resultado del ejercicio</t>
  </si>
  <si>
    <t>VIII. (Dividendo a cuenta)</t>
  </si>
  <si>
    <t>IX. Otros intrumentos de patrimonio neto</t>
  </si>
  <si>
    <t>A-2) Ajustes por cambios de valor</t>
  </si>
  <si>
    <t>I. Activos financieros a valor razonable con cambios en el patrimonio neto</t>
  </si>
  <si>
    <t>II. Operaciones de cobertura</t>
  </si>
  <si>
    <t>III. Activos no corrientes y pasivos vinculados, mantenidos para la venta</t>
  </si>
  <si>
    <t>IV. Diferencia de conversión</t>
  </si>
  <si>
    <t>V. Otros</t>
  </si>
  <si>
    <t>A-3) Subvenciones, donaciones y legados recibidos</t>
  </si>
  <si>
    <t>B) PASIVO NO CORRIENTE</t>
  </si>
  <si>
    <t>I. Provisiones a largo plazo</t>
  </si>
  <si>
    <t>1. Obligaciones por prestaciones a largo plazo al personal</t>
  </si>
  <si>
    <t>2. Actuaciones medioambientales</t>
  </si>
  <si>
    <t>3. Provisiones por reestructuración</t>
  </si>
  <si>
    <t>4. Otras provisiones</t>
  </si>
  <si>
    <t>II. Deudas a largo plazo</t>
  </si>
  <si>
    <t>1. Obligaciones y otros valores negociables</t>
  </si>
  <si>
    <t>2. Deudas con entidades de crédito</t>
  </si>
  <si>
    <t>3. Acreedores por arrendamiento financiero</t>
  </si>
  <si>
    <t>5. Otros pasivos financieros</t>
  </si>
  <si>
    <t>III. Deudas con empresas del grupo y asociadas a largo plazo</t>
  </si>
  <si>
    <t>IV. Pasivos por impuesto diferido</t>
  </si>
  <si>
    <t>V. Periodificación a largo plazo</t>
  </si>
  <si>
    <t>VI. Acreedores comerciales no corrientes</t>
  </si>
  <si>
    <t>VII. Deuda con características especiales a largo plazo</t>
  </si>
  <si>
    <t>C) PASIVO CORRIENTE</t>
  </si>
  <si>
    <t>I. Pasivos vinculados con activos no corrientes mantenidos para la venta</t>
  </si>
  <si>
    <t>II. Provisiones a corto plazo</t>
  </si>
  <si>
    <t>1. Provisiones por derechos de emisión de gases de efecto invernadero</t>
  </si>
  <si>
    <t>2. Otras provisiones</t>
  </si>
  <si>
    <t>III. Deudas a corto plazo</t>
  </si>
  <si>
    <t>IV. Deudas con empresas del grupo y asociadas a corto plazo</t>
  </si>
  <si>
    <t>V. Acreedores comerciales y otras cuentas a pagar</t>
  </si>
  <si>
    <t>1. Proveedores</t>
  </si>
  <si>
    <t>a) Proveedores a largo plazo</t>
  </si>
  <si>
    <t>b) Proveedores a corto plazo</t>
  </si>
  <si>
    <t>2. Proveedores, empresas del grupo y asociadas</t>
  </si>
  <si>
    <t>3. Acreedores varios</t>
  </si>
  <si>
    <t>4. Personal (remuneraciones pendientes de pago)</t>
  </si>
  <si>
    <t>5. Pasivos por impuesto corriente</t>
  </si>
  <si>
    <t>6. Otras deudas con las Administraciones Públicas</t>
  </si>
  <si>
    <t>7. Anticipos de clientes</t>
  </si>
  <si>
    <t>VI. Periodificación a corto plazo</t>
  </si>
  <si>
    <t>VII. Deuda con características especiales a corto plazo</t>
  </si>
  <si>
    <t>TOTAL PATRIMONIO NETO Y PASIVO (A + B + C)</t>
  </si>
  <si>
    <t>CUENTA DE PÉRDIDAS Y GANANCIAS</t>
  </si>
  <si>
    <t>(DEBE)/HABER</t>
  </si>
  <si>
    <t>EJERCICIO 2023</t>
  </si>
  <si>
    <t>EJERCICIO 2022</t>
  </si>
  <si>
    <t>A) OPERACIONES CONTINUADAS</t>
  </si>
  <si>
    <t>1. Importe neto de la cifra de negocios</t>
  </si>
  <si>
    <t>a) Ventas</t>
  </si>
  <si>
    <t>b) Prestaciones de servicios</t>
  </si>
  <si>
    <t>c) Ingresos de carácter financiero de las sociedades holding</t>
  </si>
  <si>
    <t>2. Variación de existencias de productos terminados y en curso de fabricación</t>
  </si>
  <si>
    <t>3. Trabajos realizados por la empresa para su activo</t>
  </si>
  <si>
    <t>l</t>
  </si>
  <si>
    <t>a) Consumo de mercaderías</t>
  </si>
  <si>
    <t>b) Consumo de materias primas y otras materias consumibles</t>
  </si>
  <si>
    <t>d) Deterioro de mercaderías, materias primas y otros aprovisionamientos</t>
  </si>
  <si>
    <t>5. Otros ingresos de explotación</t>
  </si>
  <si>
    <t>a) Ingresos accesorios y otros de gestión corriente</t>
  </si>
  <si>
    <t>b) Subvenciones de explotación incorporadas al resultado del ejercicio</t>
  </si>
  <si>
    <t>6. Gastos de personal</t>
  </si>
  <si>
    <t>a) Sueldos, salarios y asimilados</t>
  </si>
  <si>
    <t>b) Cargas sociales</t>
  </si>
  <si>
    <t>c) Provisiones</t>
  </si>
  <si>
    <t>7. Otros gastos de explotación</t>
  </si>
  <si>
    <t>a) Servicios exteriores</t>
  </si>
  <si>
    <t>b) Tributos</t>
  </si>
  <si>
    <t>c) Pérdidas, deterioro y variación de provisiones por operaciones comerciales</t>
  </si>
  <si>
    <t>d) Otros gastos de gestión corriente</t>
  </si>
  <si>
    <t>e) Gastos por emisión de gases de efecto invernadero</t>
  </si>
  <si>
    <t>8. Amortización del inmovilizado</t>
  </si>
  <si>
    <t>9. Imputación de subvenciones de inmovilizado no financiero y otras</t>
  </si>
  <si>
    <t>10. Excesos de provisiones</t>
  </si>
  <si>
    <t>11. Deterioro y resultado por enajenaciones del inmovilizado</t>
  </si>
  <si>
    <t>a) Deterioro y pérdidas</t>
  </si>
  <si>
    <t>b) Resultados por enajenaciones y otras</t>
  </si>
  <si>
    <t>c) Deterioro y resultados por enajenaciones del inmovilizado de las sociedades holding</t>
  </si>
  <si>
    <t>12. Diferencia negativa de combinaciones de negocio</t>
  </si>
  <si>
    <t>13. Otros resultados</t>
  </si>
  <si>
    <t>A.1) RESULTADO DE EXPLOTACIÓN (1+2+3+4+5+6+7+8+9+10+11+12+13)</t>
  </si>
  <si>
    <t>14. Ingresos financieros</t>
  </si>
  <si>
    <t>a) De participaciones en instrumentos de patrimonio</t>
  </si>
  <si>
    <t>a1) En empresas del grupo y asociadas</t>
  </si>
  <si>
    <t>a2) En terceros</t>
  </si>
  <si>
    <t>b) De valores negociables y otros instrumentos financieros</t>
  </si>
  <si>
    <t>b1) De empresas del grupo y asociadas</t>
  </si>
  <si>
    <t>b2) De terceros</t>
  </si>
  <si>
    <t>c) Imputación de subvenciones, donaciones y legados de carácter</t>
  </si>
  <si>
    <t>15. Gastos financieros</t>
  </si>
  <si>
    <t>a) Por deudas con empresas del grupo y asociadas</t>
  </si>
  <si>
    <t>b) Por deudas con terceros</t>
  </si>
  <si>
    <t>c) Por actualización de provisiones</t>
  </si>
  <si>
    <t xml:space="preserve">16. Variación de valor razonable en instrumentos financieros </t>
  </si>
  <si>
    <t>a) Valor razonable con cambios en pérdidas y ganancias</t>
  </si>
  <si>
    <t>b) Transferencia de ajustes de valor razonable con cambios en el patrimonio neto</t>
  </si>
  <si>
    <t>17. Diferencias de cambio</t>
  </si>
  <si>
    <t>18. Deterioro y resultado por enajenaciones de instrumentos financieros</t>
  </si>
  <si>
    <t>a) Deterioros y pérdidas</t>
  </si>
  <si>
    <t>19. Otros ingresos y gastos de carácter financiero</t>
  </si>
  <si>
    <t>a) Incorporación al activo de gastos financieros</t>
  </si>
  <si>
    <t>b) Ingresos financieros derivados de convenios de acreedores</t>
  </si>
  <si>
    <t xml:space="preserve">c) Resto de ingresos y gastos </t>
  </si>
  <si>
    <t>A.2) RESULTADO FINANCIERO (14+15+16+17+18+19)</t>
  </si>
  <si>
    <t>A.3) RESULTADO ANTES DE IMPUESTOS (A.1+A.2)</t>
  </si>
  <si>
    <t>20. Impuesto sobre beneficios</t>
  </si>
  <si>
    <t>A.4) RESULTADO DEL EJERCICIO PROCEDENTE DE OPERACIONES CONTINUADAS (A.3+20)</t>
  </si>
  <si>
    <t>B) OPERACIONES INTERRUMPIDAS</t>
  </si>
  <si>
    <t>21. Resultado del ejercicio procedente de operaciones interrumpidas neto de impuestos</t>
  </si>
  <si>
    <t>A.5) RESULTADO DEL EJERCICIO (A.4+21)</t>
  </si>
  <si>
    <t>ACERINOX</t>
  </si>
  <si>
    <t>PROMEDIO EMPRESAS EN EL MISMO SECTOR (2022)</t>
  </si>
  <si>
    <t>PROMEDIO EMPRESAS EN EL MISMO SECTOR (2023)</t>
  </si>
  <si>
    <t>FONDO DE MANIOBRA</t>
  </si>
  <si>
    <t>(Activo Corriente - Pasivo Corriente)</t>
  </si>
  <si>
    <t>RATIOS DE LIQUIDEZ</t>
  </si>
  <si>
    <t>RATIO DE LIQUIDEZ</t>
  </si>
  <si>
    <t>RATIO DE TESORERÍA</t>
  </si>
  <si>
    <t>RATIO DE DISPONIBILIDAD</t>
  </si>
  <si>
    <t>RATIO DE F.M SOBRE ACTIVO</t>
  </si>
  <si>
    <t>RATIO DE F.M SOBRE PASIVO CORRENTE</t>
  </si>
  <si>
    <t>RATIOS DE ENDEUDAMIENTO</t>
  </si>
  <si>
    <t>RATIO DE ENDEUDAMIENTO</t>
  </si>
  <si>
    <t>RATIO DE AUTONOMÍA</t>
  </si>
  <si>
    <t>RATIO DE SOLVENCIA O GARANTÍA</t>
  </si>
  <si>
    <t>RATIO DE CALIDAD DE LA DEUDA</t>
  </si>
  <si>
    <t>RATIO DE GASTOS FINANCIEROS SOBRE VENTAS</t>
  </si>
  <si>
    <t>RATIO DE COSTE DE LA DEUDA</t>
  </si>
  <si>
    <t>COBERTURA DE GASTOS FINANCIEROS</t>
  </si>
  <si>
    <t>NO CUBRE (BAII negativo)</t>
  </si>
  <si>
    <t>RATIOS DE ROTACIÓN DE ACTIVOS</t>
  </si>
  <si>
    <t>RATIO DE ROTACIÓN DEL ACTIVO</t>
  </si>
  <si>
    <t>RATIO DE ROTACIÓN DEL ACTIVO NO CORRIENTE</t>
  </si>
  <si>
    <t>RATIO DE ROTACIÓN DEL ACTIVO CORRIENTE</t>
  </si>
  <si>
    <t>RATIO DE ROTACIÓN DE EXISTENCIAS</t>
  </si>
  <si>
    <t>RATIO DE ROTACIÓN DE CLIENTES</t>
  </si>
  <si>
    <t>RATIOS DE GESTIÓN DE COBRO Y DE PAGO</t>
  </si>
  <si>
    <t>PLAZO DE COBRO (días)</t>
  </si>
  <si>
    <t>PLAZO DE PAGO (días)</t>
  </si>
  <si>
    <t>Nombre</t>
  </si>
  <si>
    <t>Código consolidación</t>
  </si>
  <si>
    <t>Año</t>
  </si>
  <si>
    <t>Liquidez general
%</t>
  </si>
  <si>
    <t>Endeudamiento (%)
%</t>
  </si>
  <si>
    <t>Ingresos de explotación
mil EUR</t>
  </si>
  <si>
    <t>Total Activo
mil EUR</t>
  </si>
  <si>
    <t>Resultado del Ejercicio
mil EUR</t>
  </si>
  <si>
    <t>Fondos propios
mil EUR</t>
  </si>
  <si>
    <t>Tesorería (Mil)
mil</t>
  </si>
  <si>
    <t>Efectivo y otros activos líquidos equivalentes
mil EUR</t>
  </si>
  <si>
    <t>Pasivo corriente
mil EUR</t>
  </si>
  <si>
    <t>Ratio de Fondo de Maniobra
%</t>
  </si>
  <si>
    <t>Autonomia Financeira
% EUR</t>
  </si>
  <si>
    <t>Ratio de solvencia
%</t>
  </si>
  <si>
    <t>Total pasivo
mil EUR</t>
  </si>
  <si>
    <t>Gastos financieros
mil EUR</t>
  </si>
  <si>
    <t>Importe neto Cifra de Ventas
mil EUR</t>
  </si>
  <si>
    <t>Rotación de activos
%</t>
  </si>
  <si>
    <t>Rotación de las existencias
%</t>
  </si>
  <si>
    <t> </t>
  </si>
  <si>
    <t>Rango</t>
  </si>
  <si>
    <t>Mediana</t>
  </si>
  <si>
    <t>1.09</t>
  </si>
  <si>
    <t>57.94</t>
  </si>
  <si>
    <t>0.04</t>
  </si>
  <si>
    <t>n.d.</t>
  </si>
  <si>
    <t>1.17</t>
  </si>
  <si>
    <t>8.16</t>
  </si>
  <si>
    <t>Desviación típica</t>
  </si>
  <si>
    <t>0.35</t>
  </si>
  <si>
    <t>16.77</t>
  </si>
  <si>
    <t>0.20</t>
  </si>
  <si>
    <t>0.46</t>
  </si>
  <si>
    <t>3.85</t>
  </si>
  <si>
    <t>Media</t>
  </si>
  <si>
    <t>1.00</t>
  </si>
  <si>
    <t>64.44</t>
  </si>
  <si>
    <t>-0.04</t>
  </si>
  <si>
    <t>1.37</t>
  </si>
  <si>
    <t>7.68</t>
  </si>
  <si>
    <t>SIDENOR ACEROS ESPECIALES SLU</t>
  </si>
  <si>
    <t>U2</t>
  </si>
  <si>
    <t>1.40</t>
  </si>
  <si>
    <t>56.19</t>
  </si>
  <si>
    <t>0.15</t>
  </si>
  <si>
    <t>3.50</t>
  </si>
  <si>
    <t>ARCELORMITTAL OLABERRIA-BERGARA SL.</t>
  </si>
  <si>
    <t>U1</t>
  </si>
  <si>
    <t>1.34</t>
  </si>
  <si>
    <t>46.10</t>
  </si>
  <si>
    <t>2.27</t>
  </si>
  <si>
    <t>GLOBAL STEEL WIRE, SA</t>
  </si>
  <si>
    <t>66.62</t>
  </si>
  <si>
    <t>0.95</t>
  </si>
  <si>
    <t>12.99</t>
  </si>
  <si>
    <t>ACERINOX EUROPA SAU</t>
  </si>
  <si>
    <t>0.61</t>
  </si>
  <si>
    <t>95.34</t>
  </si>
  <si>
    <t>1,344,692</t>
  </si>
  <si>
    <t>1,142,438</t>
  </si>
  <si>
    <t>1,031,409</t>
  </si>
  <si>
    <t>-0.36</t>
  </si>
  <si>
    <t>1,313,068</t>
  </si>
  <si>
    <t>1.15</t>
  </si>
  <si>
    <t>3.19</t>
  </si>
  <si>
    <t>COMPAÑIA ESPAÑOLA DE LAMINACION SL</t>
  </si>
  <si>
    <t>0.58</t>
  </si>
  <si>
    <t>1,162,248</t>
  </si>
  <si>
    <t>-0.19</t>
  </si>
  <si>
    <t>1,160,531</t>
  </si>
  <si>
    <t>1.29</t>
  </si>
  <si>
    <t>10.54</t>
  </si>
  <si>
    <t>1.12</t>
  </si>
  <si>
    <t>62.02</t>
  </si>
  <si>
    <t>1,089,492</t>
  </si>
  <si>
    <t>0.06</t>
  </si>
  <si>
    <t>1,067,566</t>
  </si>
  <si>
    <t>1.60</t>
  </si>
  <si>
    <t>10.72</t>
  </si>
  <si>
    <t>8.66</t>
  </si>
  <si>
    <t>0.17</t>
  </si>
  <si>
    <t>0.55</t>
  </si>
  <si>
    <t>4.17</t>
  </si>
  <si>
    <t>1.08</t>
  </si>
  <si>
    <t>67.02</t>
  </si>
  <si>
    <t>1,251,347</t>
  </si>
  <si>
    <t>0.02</t>
  </si>
  <si>
    <t>1,238,513</t>
  </si>
  <si>
    <t>1.74</t>
  </si>
  <si>
    <t>9.01</t>
  </si>
  <si>
    <t>1.56</t>
  </si>
  <si>
    <t>58.45</t>
  </si>
  <si>
    <t>1,057,470</t>
  </si>
  <si>
    <t>0.24</t>
  </si>
  <si>
    <t>1,049,648</t>
  </si>
  <si>
    <t>2.80</t>
  </si>
  <si>
    <t>1.31</t>
  </si>
  <si>
    <t>0.14</t>
  </si>
  <si>
    <t>1.26</t>
  </si>
  <si>
    <t>4.19</t>
  </si>
  <si>
    <t>75.11</t>
  </si>
  <si>
    <t>11.74</t>
  </si>
  <si>
    <t>0.83</t>
  </si>
  <si>
    <t>79.66</t>
  </si>
  <si>
    <t>1,928,986</t>
  </si>
  <si>
    <t>1,193,913</t>
  </si>
  <si>
    <t>-0.13</t>
  </si>
  <si>
    <t>1,912,676</t>
  </si>
  <si>
    <t>4.04</t>
  </si>
  <si>
    <t>0.57</t>
  </si>
  <si>
    <t>59.87</t>
  </si>
  <si>
    <t>1,412,754</t>
  </si>
  <si>
    <t>-0.21</t>
  </si>
  <si>
    <t>1,410,961</t>
  </si>
  <si>
    <t>1.63</t>
  </si>
  <si>
    <t>14.36</t>
  </si>
  <si>
    <t>Activo no corriente
mil EUR</t>
  </si>
  <si>
    <t>Activo corriente
mil EUR</t>
  </si>
  <si>
    <t>Patrimonio neto
mil EUR</t>
  </si>
  <si>
    <t>Pasivo no corriente
mil EUR</t>
  </si>
  <si>
    <t>COMPARATIVA SECTORIAL — ACERINOX EUROPA, S.A.U.</t>
  </si>
  <si>
    <t>ACERINOX — 2023</t>
  </si>
  <si>
    <t>SECTOR — 2022</t>
  </si>
  <si>
    <t>ACERINOX 2023 — datos chart</t>
  </si>
  <si>
    <t>Pasivo C</t>
  </si>
  <si>
    <t>Pasivo NC</t>
  </si>
  <si>
    <t>Patrimonio Neto</t>
  </si>
  <si>
    <t>Activo Corriente</t>
  </si>
  <si>
    <t>Activo No Corriente</t>
  </si>
  <si>
    <t>Base FM (oculta)</t>
  </si>
  <si>
    <t>Fondo de Maniobra</t>
  </si>
  <si>
    <t>Activo</t>
  </si>
  <si>
    <t>Total (miles €)</t>
  </si>
  <si>
    <t>Desglose</t>
  </si>
  <si>
    <t>PN + Pasivo (miles €)</t>
  </si>
  <si>
    <t>FM</t>
  </si>
  <si>
    <t>Activo nc</t>
  </si>
  <si>
    <t>Patrimonio</t>
  </si>
  <si>
    <t>PN + Pasivo</t>
  </si>
  <si>
    <t>Activo c</t>
  </si>
  <si>
    <t>Pasivo nc</t>
  </si>
  <si>
    <t xml:space="preserve">Activo nc </t>
  </si>
  <si>
    <t>Pasivo c</t>
  </si>
  <si>
    <t>ACERINOX 2022 — datos chart</t>
  </si>
  <si>
    <t>SECTOR 2022 — datos chart</t>
  </si>
  <si>
    <t>SECTOR 2023 — datos chart</t>
  </si>
  <si>
    <t>ACERINOX — 2022</t>
  </si>
  <si>
    <t>SECTOR — 2023</t>
  </si>
  <si>
    <t>ANÁLISIS DE LA SITUACIÓN PATRIMONIAL — ACERINOX EUROPA, S.A.U.</t>
  </si>
  <si>
    <t>1. ORDENACIÓN DEL BALANCE</t>
  </si>
  <si>
    <t>Categoría</t>
  </si>
  <si>
    <t>ANC</t>
  </si>
  <si>
    <t>AC</t>
  </si>
  <si>
    <t>PN</t>
  </si>
  <si>
    <t>PNC</t>
  </si>
  <si>
    <t>PC</t>
  </si>
  <si>
    <t>MASA PATRIMONIAL</t>
  </si>
  <si>
    <t>2022 (miles €)</t>
  </si>
  <si>
    <t>2023 (miles €)</t>
  </si>
  <si>
    <t>Var. Absoluta</t>
  </si>
  <si>
    <t>Var. Relativa (%)</t>
  </si>
  <si>
    <t>Tendencia</t>
  </si>
  <si>
    <t>Activo 2022</t>
  </si>
  <si>
    <t>Activo No Corriente (ANC)</t>
  </si>
  <si>
    <t>PN+P 2022</t>
  </si>
  <si>
    <t>Activo Corriente (AC)</t>
  </si>
  <si>
    <t>Activo 2023</t>
  </si>
  <si>
    <t>TOTAL ACTIVO</t>
  </si>
  <si>
    <t>PN+P 2023</t>
  </si>
  <si>
    <t>Patrimonio Neto (PN)</t>
  </si>
  <si>
    <t>Pasivo No Corriente (PNC)</t>
  </si>
  <si>
    <t>Pasivo Corriente (PC)</t>
  </si>
  <si>
    <t>TOTAL PN + PASIVO</t>
  </si>
  <si>
    <t>2. ESTRUCTURA PORCENTUAL</t>
  </si>
  <si>
    <t>Variación (p.p.)</t>
  </si>
  <si>
    <t>Pasivo No Corriente</t>
  </si>
  <si>
    <t>Pasivo Corriente</t>
  </si>
  <si>
    <t>3. FONDO DE MANIOBRA</t>
  </si>
  <si>
    <t>CONCEPTO</t>
  </si>
  <si>
    <t>Variación</t>
  </si>
  <si>
    <t>(-) Pasivo Corriente</t>
  </si>
  <si>
    <t>= FONDO DE MANIOBRA</t>
  </si>
  <si>
    <t>FM / Activo Total</t>
  </si>
  <si>
    <t>FM / Pasivo Corriente</t>
  </si>
  <si>
    <t>INTERPRETACIÓN</t>
  </si>
  <si>
    <t>Ordenación y Variaciones:</t>
  </si>
  <si>
    <t>El Activo Total disminuye un 4,31% (de 1.193.913 a 1.142.438 miles €). El ANC crece un 13,59%, mientras que el AC cae un 15,36% por la reducción de clientes grupo (-101.718 miles €) y existencias (-56.651 miles €). En el lado de la financiación, el PN se desploma un 78,08% por las pérdidas de -195,8 M€, y el PC crece un 15,47% hasta superar los 1.031 M€, absorbiendo el 90% de la financiación total.</t>
  </si>
  <si>
    <t>Estructura Porcentual:</t>
  </si>
  <si>
    <t>La estructura patrimonial está gravemente desequilibrada. En 2023, el PN apenas representa el 4,66% del total (frente al 20,34% de 2022), mientras que el PC supone el 90,28%. La empresa financia prácticamente todo su activo con deuda a corto plazo, lo cual es una señal de alarma crítica para cualquier acreedor. La capitalización se ha erosionado por las pérdidas acumuladas.</t>
  </si>
  <si>
    <t>Fondo de Maniobra:</t>
  </si>
  <si>
    <t>El FM es negativo en ambos ejercicios y empeora drásticamente: de -154.788 miles € (2022) a -406.341 miles € (2023). Esto significa que los recursos permanentes (PN + PNC = 111.029 miles €) no cubren ni el 21% del ANC (517.370 miles €). La empresa depende críticamente de las líneas de crédito intragrupo con Acerinox, S.A. (532.208 miles € en deuda con grupo a c/p). Sin este apoyo de la matriz, la empresa sería técnicamente insolvente a corto plazo.</t>
  </si>
  <si>
    <t>Conclusión:</t>
  </si>
  <si>
    <t>Acerinox Europa presenta una situación patrimonial de riesgo elevado. La empresa ha pasado de una situación patrimonial ya débil en 2022 a una posición crítica en 2023. La viabilidad como empresa en funcionamiento (going concern) depende exclusivamente del compromiso continuado de financiación de su socio único, Acerinox S.A.</t>
  </si>
  <si>
    <t>1.bis — DESGLOSE DEL ACTIVO CORRIENTE (modelo 7 masas Tema 3)</t>
  </si>
  <si>
    <t>% s/ Total Activo 2023</t>
  </si>
  <si>
    <t>Existencias</t>
  </si>
  <si>
    <t>Realizable</t>
  </si>
  <si>
    <t>Efectivo y equivalentes</t>
  </si>
  <si>
    <t>ANÁLISIS DE ENDEUDAMIENTO — ACERINOX EUROPA, S.A.U.</t>
  </si>
  <si>
    <t>REFERENCIA</t>
  </si>
  <si>
    <t>ANÁLISIS 2022</t>
  </si>
  <si>
    <t>ANÁLISIS 2023</t>
  </si>
  <si>
    <t>0,4 &lt; R.e. &lt; 0,6</t>
  </si>
  <si>
    <t>Hay una deuda excesiva, la empresa no puede soportar la carga financiera de ésta y va a perder su autonomía financiera, hay riesgo de descapitalización.</t>
  </si>
  <si>
    <t>La situación es peor que en el 2022, entonces hay una deuda excesiva, la empresa no puede soportar la carga financiera de ésta y va a perder su autonomía financiera, hay riesgo de descapitalización.</t>
  </si>
  <si>
    <t>0,7 &lt; R.a. &lt; 1,5</t>
  </si>
  <si>
    <t>La empresa tiene una deuda excesiva, depende demasiado de la financiación externa, sufre una pérdida de autonomía financiera.</t>
  </si>
  <si>
    <t>La situación tiene los mismos riesgos que en 2022, pero en este caso es mucho peor: de hecho, en 2023 por cada euro de deuda la empresa tiene menos de 5 céntimos propios.</t>
  </si>
  <si>
    <t>R.s. ≈ 1,5 (&gt;1)</t>
  </si>
  <si>
    <t>La empresa se encuentra en una situación de riesgo: si alguno de sus activos pierde valor, podría no poder pagar sus deudas.</t>
  </si>
  <si>
    <t>La empresa está muy cerca de la quiebra técnica, ya que debe más de lo que posee, lo que compromete su capacidad de continuar con la actividad comercial.</t>
  </si>
  <si>
    <t>más bajo posible</t>
  </si>
  <si>
    <t>La calidad de la deuda es muy mala: el 93,9% de la deuda total es a corto plazo, lo que indica una presión financiera muy elevada a corto plazo y un riesgo significativo de impago.</t>
  </si>
  <si>
    <t>La situación empeora en 2023: el 94,7% de la deuda es a corto plazo frente al 93,9% de 2022. La concentración de deuda a corto plazo sigue siendo excesiva y aumenta el riesgo de tensiones de liquidez.</t>
  </si>
  <si>
    <t>&lt; 0,04</t>
  </si>
  <si>
    <t>El ratio se sitúa en el 0,85%, muy por debajo del umbral de alarma del 5%. Los gastos financieros son reducidos en relación a las ventas, lo que es un aspecto positivo.</t>
  </si>
  <si>
    <t>El ratio se deteriora significativamente, pasando del 0,85% al 3,00% en 2023. Aunque sigue por debajo del 5%, el aumento es muy notable y refleja el incremento de los gastos financieros y la caída de las ventas.</t>
  </si>
  <si>
    <t xml:space="preserve">&lt; coste medio del dinero </t>
  </si>
  <si>
    <t>El coste medio de la deuda con coste se sitúa en torno al 2,3%, valor reducido y coherente con la fuerte presencia de financiación intragrupo (preferencial). Muy por debajo del coste medio del dinero del Banco de España (≈3,25%).</t>
  </si>
  <si>
    <t>El coste sube hasta el 5,0%, todavía moderado pero con incremento significativo (+2,7 p.p.) por el mayor recurso a deuda con entidades de crédito y empresas del grupo, en un entorno de tipos altos. Sigue ligeramente por encima del coste medio del dinero del BCE.</t>
  </si>
  <si>
    <t>&gt; 2</t>
  </si>
  <si>
    <t>El BAII de la empresa es negativo: no hay beneficio, por lo que los gastos financieros no se pueden cubrir.</t>
  </si>
  <si>
    <t>ANÁLISIS DE LIQUIDEZ — ACERINOX EUROPA, S.A.U.</t>
  </si>
  <si>
    <t>1,5 &lt; R.l. &lt; 2</t>
  </si>
  <si>
    <t>Es menor que 1,5, así que la empresa presenta posibles problemas de liquidez.</t>
  </si>
  <si>
    <t>Es menor que 1,5 así que la empresa mantiene posibles problemas de liquidez, en este caso de forma aún más acusada que en 2022, ya que el ratio desciende de 0,827 a 0,606.</t>
  </si>
  <si>
    <t>R.t. ≈ 1</t>
  </si>
  <si>
    <t>El ratio de tesorería es de 0,292 , muy por debajo de 1. Esto significa que si descontamos las existencias, la empresa apenas puede cubrir el 29% de su pasivo corriente con activos líquidos. La situación es preocupante y revela una fuerte dependencia de la venta de existencias para atender sus obligaciones a corto plazo.</t>
  </si>
  <si>
    <t>El ratio de tesorería cae a 0,20, empeorando frente al de 2022. Sin las existencias, la empresa solo puede cubrir el 20% de su pasivo corriente. La situación de liquidez se deteriora significativamente.</t>
  </si>
  <si>
    <t>R.d. ≈ 0,2 - 0,3</t>
  </si>
  <si>
    <t>El ratio de disponibilidad es prácticamente nulo 0,001, lo que indica que la empresa no dispone de efectivo inmediato para hacer frente a sus deudas a corto plazo. La tesorería es de apenas 1.275 miles € frente a un pasivo corriente de 893.250 miles €.</t>
  </si>
  <si>
    <t>El ratio de disponibilidad sigue siendo prácticamente nulo, aunque mejora ligeramente respecto a 2022, el efectivo disponible (3.449 miles €) es absolutamente insuficiente frente a un pasivo corriente de más de 1 millón de miles €.</t>
  </si>
  <si>
    <t>positivo (&gt; 0)</t>
  </si>
  <si>
    <t>Al tener un FM negativo nos indica que la empresa tiene una posibilidad razonable de insolvencia.</t>
  </si>
  <si>
    <t xml:space="preserve">Sigue teniendo un FM negativo lo cual nos indica que la empresa tiene una posibilidad razonable de insolvencia. Este año el problema es aún mayor al ser el ratio aún más negativo. </t>
  </si>
  <si>
    <t>El FM sobre pasivo corriente es -0,173, lo que confirma que el fondo de maniobra negativo representa un 17,3% del pasivo corriente. La empresa necesita refinanciar parte de su deuda a corto plazo o incrementar sus recursos permanentes.</t>
  </si>
  <si>
    <t>El FM sobre pasivo corriente empeora a -0,394, lo que significa que el déficit de fondo de maniobra ya representa casi el 40% del pasivo corriente, frente al 17,3% de 2022. La dependencia de financiación a corto plazo es cada vez más crítica.</t>
  </si>
  <si>
    <t>ESTADO DE ORIGEN Y APLICACIÓN DE FONDOS (EOAF) — ACERINOX EUROPA, S.A.U.</t>
  </si>
  <si>
    <t>1. VARIACIONES DEL BALANCE (2022 → 2023, miles €)</t>
  </si>
  <si>
    <t>Clasificación</t>
  </si>
  <si>
    <t>ANC (bruto = neto + amort. período)</t>
  </si>
  <si>
    <t>Amortización del período</t>
  </si>
  <si>
    <t>Origen l/p (siempre)</t>
  </si>
  <si>
    <t>PN (var. total sin resultado N)</t>
  </si>
  <si>
    <t>Resultado del ejercicio 2023</t>
  </si>
  <si>
    <t>Efectivo</t>
  </si>
  <si>
    <t>2. ESTADO DE ORIGEN Y APLICACIÓN DE FONDOS (miles €)</t>
  </si>
  <si>
    <t>APLICACIÓN</t>
  </si>
  <si>
    <t>(miles €)</t>
  </si>
  <si>
    <t>ORIGEN</t>
  </si>
  <si>
    <t>l/p</t>
  </si>
  <si>
    <t>Pérdidas del ejercicio</t>
  </si>
  <si>
    <t>Var. Fondo de Maniobra</t>
  </si>
  <si>
    <t>c/p</t>
  </si>
  <si>
    <t>TOTAL</t>
  </si>
  <si>
    <t>ANÁLISIS DE LA CUENTA DE PÉRDIDAS Y GANANCIAS — ACERINOX EUROPA, S.A.U.</t>
  </si>
  <si>
    <t>6.1. CUENTA DE PyG ANALÍTICA: VALORES ABSOLUTOS Y PORCENTAJES</t>
  </si>
  <si>
    <t>% s/Ventas 2023</t>
  </si>
  <si>
    <t>% s/Ventas 2022</t>
  </si>
  <si>
    <t>Variación absoluta</t>
  </si>
  <si>
    <t>Variación %</t>
  </si>
  <si>
    <t>Ventas (Importe neto cifra de negocios)</t>
  </si>
  <si>
    <t>(-) Coste de ventas (Aprovisionam. ± Var. exist. + Trabajos activo)</t>
  </si>
  <si>
    <t>= MARGEN BRUTO</t>
  </si>
  <si>
    <t>(-) Otros gastos de explotación (excepto amort. y deterioro)</t>
  </si>
  <si>
    <t>(+) Otros ingresos de explotación</t>
  </si>
  <si>
    <t>= VALOR AÑADIDO BRUTO (VAB)</t>
  </si>
  <si>
    <t>(-) Gastos de personal</t>
  </si>
  <si>
    <t>= EBITDA (Rdo. bruto de explotación)</t>
  </si>
  <si>
    <t>(-) Amortizaciones</t>
  </si>
  <si>
    <t>(-) Deterioro y otros</t>
  </si>
  <si>
    <t>= BAII (Rdo. neto de explotación ≡ EBIT)</t>
  </si>
  <si>
    <t>(+) Ingresos financieros</t>
  </si>
  <si>
    <t>(-) Gastos financieros</t>
  </si>
  <si>
    <t>(+/-) Otros ingresos y gastos financieros</t>
  </si>
  <si>
    <t>= BAI (Bº antes de impuestos)</t>
  </si>
  <si>
    <t>(-) Impuesto sobre beneficios</t>
  </si>
  <si>
    <t>= RESULTADO DEL EJERCICIO</t>
  </si>
  <si>
    <t>ANÁLISIS VERTICAL (% sobre ventas) — Años 2023 y 2022</t>
  </si>
  <si>
    <t>Coste de ventas = 88,7% s/ventas (2023) vs 73,9% (2022): estructura de costes claramente variable, pero con fuerte deterioro de la eficiencia. El Margen Bruto cae al 11,3% (26,1% en 2022), lo que refleja que Acerinox no puede trasladar al precio la caída de la demanda ni los costes de materia prima.</t>
  </si>
  <si>
    <t>VAB = -4,9% s/ventas (+4,7% en 2022): los Otros gastos de explotación (principalmente servicios exteriores) absorben -18,7% de las ventas, convirtiendo al VAB en negativo. La empresa destruye valor añadido en 2023. Gastos de personal pesan 9,5% s/ventas (vs 6,8%) por el efecto denominador — no hay ajuste de plantilla proporcional a la caída de ventas.</t>
  </si>
  <si>
    <t>EBITDA = -14,4% s/ventas (-2,1% en 2022): pérdida operativa recurrente antes de amortizaciones. Con amortizaciones del 2,7% s/ventas, el BAII se sitúa en -17,1% (vs -3,7%). Los Gastos financieros suben al 3,0% s/ventas (0,8% en 2022). El Rdo. Neto final es -14,9% s/ventas (-3,2% en 2022). Política fiscal: el crédito fiscal positivo (impto +5,1% s/ventas) amortigua parcialmente las pérdidas.</t>
  </si>
  <si>
    <t>ANÁLISIS HORIZONTAL (variación 2023 vs 2022)</t>
  </si>
  <si>
    <t>Ventas: -31,3% (1.912.676 → 1.313.068 miles €). Señal de contracción severa del mercado del acero inoxidable o pérdida de cuota. El Coste de ventas cae solo un 17,7%, mucho menos que las ventas, por lo que el Margen Bruto se desploma un 70,2%. No hay flexibilidad en la estructura de costes variables para absorber la caída.</t>
  </si>
  <si>
    <t>VAB: pasa de +89.823 a -63.842 miles € (cae más del 170%). EBITDA empeora un 371% (de -39.994 a -188.562). BAII cae un 220% (de -70.259 a -224.976). Esta cascada evidencia un APALANCAMIENTO OPERATIVO FUERTEMENTE NEGATIVO: al operar con muchos costes fijos (Personal, Amortiz., Otros gtos.), una caída del 31% en ventas triplica la pérdida operativa.</t>
  </si>
  <si>
    <t>Gastos financieros: +141% (16.235 → 39.155 miles €), sumando más deterioro al Resultado. El Rdo. del ejercicio empeora un 222% (-60.728 → -195.812). El impuesto positivo (+66.658) indica activación de créditos fiscales por bases imponibles negativas, sólo recuperables si la empresa vuelve a beneficios futuros.</t>
  </si>
  <si>
    <t>PUNTO DE EQUILIBRIO (UMBRAL DE RENTABILIDAD)</t>
  </si>
  <si>
    <t>Fórmula / Comentario</t>
  </si>
  <si>
    <t>Costes fijos (Personal + Amortiz. + Deterioro)</t>
  </si>
  <si>
    <t>Personal + Amortiz. + Deterioro (en valor absoluto)</t>
  </si>
  <si>
    <t>Costes variables (Coste de ventas + Otros gtos. expl. - Otros ingr.)</t>
  </si>
  <si>
    <t>Absorbidos proporcionalmente a las ventas</t>
  </si>
  <si>
    <t>Margen sobre ventas (1 - CV/V)</t>
  </si>
  <si>
    <t>% de cada euro vendido que queda tras costes variables</t>
  </si>
  <si>
    <t>PUNTO DE EQUILIBRIO (BAII = 0)</t>
  </si>
  <si>
    <t>Costes fijos / Margen sobre ventas</t>
  </si>
  <si>
    <t>Cobertura del punto de equilibrio</t>
  </si>
  <si>
    <t>Ventas / Punto de equilibrio; &gt;1 significa cubrir el PE</t>
  </si>
  <si>
    <t>Interpretación — Punto de equilibrio</t>
  </si>
  <si>
    <t>2022: margen variable del 4,70% y costes fijos de 160.082 miles € ⇒ PE = 3.408.759 miles €. Con ventas de 1.912.676, la cobertura fue del 56% — ya entonces la empresa NO cubría el punto de equilibrio. 2023: margen variable NEGATIVO (-4,86%) ⇒ el punto de equilibrio MATEMÁTICAMENTE NO EXISTE (la fórmula arroja un valor absurdo) porque cada euro vendido genera pérdida adicional antes incluso de los costes fijos. Es el escenario más crítico: vender más empeora el resultado en vez de mejorarlo.</t>
  </si>
  <si>
    <t>Diagnóstico: Acerinox no tiene un problema de volumen sino de margen variable. Vender más en 2023 significaría perder más. La prioridad absoluta es RECUPERAR EL MARGEN BRUTO (subir precios, mejorar mix de producto hacia aleaciones de mayor valor añadido, reducir costes variables de materia prima). Solo cuando el margen variable vuelva a ser positivo tendrá sentido hablar de punto de equilibrio como referencia operativa.</t>
  </si>
  <si>
    <t>6.2. ANÁLISIS DE LA RENTABILIDAD ECONÓMICA Y FINANCIERA Y SU DESCOMPOSICIÓN</t>
  </si>
  <si>
    <t>DATOS DE PARTIDA</t>
  </si>
  <si>
    <t>Ventas (INCN)</t>
  </si>
  <si>
    <t>BAII</t>
  </si>
  <si>
    <t>BAI</t>
  </si>
  <si>
    <t>Resultado del ejercicio (Bº Neto)</t>
  </si>
  <si>
    <t>Activo total</t>
  </si>
  <si>
    <t>Patrimonio Neto (Fondos Propios)</t>
  </si>
  <si>
    <t>Pasivo total (No corriente + Corriente)</t>
  </si>
  <si>
    <t>Gastos financieros</t>
  </si>
  <si>
    <t>A) RENTABILIDAD ECONÓMICA (ROA / Rendimiento)</t>
  </si>
  <si>
    <t>Fórmula: ROA = BAII / Activo total</t>
  </si>
  <si>
    <t>Fórmula</t>
  </si>
  <si>
    <t>Rotación del activo (Ventas / Activo)</t>
  </si>
  <si>
    <t>Ventas / Activo total</t>
  </si>
  <si>
    <t>Margen de ventas (BAII / Ventas)</t>
  </si>
  <si>
    <t>BAII / Ventas</t>
  </si>
  <si>
    <t>RENTABILIDAD ECONÓMICA (ROA)</t>
  </si>
  <si>
    <t>Rotación × Margen = BAII / Activo</t>
  </si>
  <si>
    <t>Comprobación directa (BAII / Activo)</t>
  </si>
  <si>
    <t>B) RENTABILIDAD FINANCIERA (ROE) — Descomposición Método de Parés</t>
  </si>
  <si>
    <t>Fórmula: ROE = (Ventas/Activo) × (BAII/Ventas) × (Activo/FFPP) × (BAI/BAII) × (Rdo/BAI) = Rotación × Margen × Apalancamiento Fin. × Efecto Fiscal</t>
  </si>
  <si>
    <t>Rotación del activo</t>
  </si>
  <si>
    <t>Ventas / Activo</t>
  </si>
  <si>
    <t>Margen de ventas</t>
  </si>
  <si>
    <t>Apalancamiento (Activo/FFPP)</t>
  </si>
  <si>
    <t>Activo / FFPP</t>
  </si>
  <si>
    <t>Ratio coste financiero (BAI/BAII)</t>
  </si>
  <si>
    <t>BAI / BAII</t>
  </si>
  <si>
    <t>APALANCAMIENTO FINANCIERO TOTAL</t>
  </si>
  <si>
    <t>(Activo/FFPP) × (BAI/BAII)</t>
  </si>
  <si>
    <t>Efecto fiscal</t>
  </si>
  <si>
    <t>Rdo / BAI</t>
  </si>
  <si>
    <t>RENTABILIDAD FINANCIERA (ROE)</t>
  </si>
  <si>
    <t>Rot × Marg × Apal × BAI/BAII × Ef.Fiscal</t>
  </si>
  <si>
    <t>Comprobación directa (Rdo / FFPP)</t>
  </si>
  <si>
    <t>C) DIAGNÓSTICO DEL APALANCAMIENTO FINANCIERO</t>
  </si>
  <si>
    <t>Referencia / Criterio</t>
  </si>
  <si>
    <t>Rendimiento del activo (ROA)</t>
  </si>
  <si>
    <t>Debe ser &gt; Coste deuda</t>
  </si>
  <si>
    <t>Coste medio de la deuda (Gastos Fin / Pasivo)</t>
  </si>
  <si>
    <t>Gastos Fin / Pasivo total</t>
  </si>
  <si>
    <t>Diferencia ROA – Coste deuda</t>
  </si>
  <si>
    <t>Positiva ⇒ apalancamiento favorable</t>
  </si>
  <si>
    <t>Ratio de apalancamiento financiero (AF)</t>
  </si>
  <si>
    <t>AF &gt; 1 ⇒ la deuda es favorable para ROE</t>
  </si>
  <si>
    <t>ANÁLISIS 6.2 — Rentabilidad y apalancamiento</t>
  </si>
  <si>
    <t>Rentabilidad económica (ROA): Se deteriora de -5,88% (2022) a -19,69% (2023). La descomposición muestra que el problema es el MARGEN, que se desploma del -3,67% al -17,13%. La rotación también empeora (1,60 → 1,15) porque las ventas caen más que el activo. Al ser el ROA negativo en ambos ejercicios, el activo destruye valor: la empresa no genera beneficio operativo suficiente para cubrir el coste de su financiación.</t>
  </si>
  <si>
    <t>Rentabilidad financiera (ROE): Pasa de -25,0% en 2022 a un alarmante -367,6% en 2023. El empeoramiento se explica por: (1) margen y rotación negativos, y sobre todo (2) por el desplome del Patrimonio Neto (de 242.867 a 53.265 miles €) a causa de las pérdidas acumuladas, que dispara el ratio Activo/FFPP de 4,92 a 21,45. La empresa está muy cerca de la descapitalización.</t>
  </si>
  <si>
    <t>Apalancamiento financiero: Aunque el ratio AF calculado resulte &gt;1 en ambos ejercicios (5,82 y 25,02), este resultado es ENGAÑOSO porque surge de dividir números negativos (BAI/BAII). Aplicando el criterio alternativo del Tema 5, comparamos ROA con Coste de la deuda: ROA 2023 = -19,7% vs CD = 3,6% ⇒ diferencial de -23,3 p.p. La deuda NO es favorable; el apalancamiento amplifica las pérdidas del accionista en lugar de mejorar su rentabilidad.</t>
  </si>
  <si>
    <t>Efecto fiscal: En torno a 0,73-0,75 en ambos años. Al ser BAI y Rdo. ambos negativos, este ratio positivo refleja que el crédito fiscal (impuesto positivo por activación de bases imponibles negativas) atenuúa las pérdidas del ejercicio en aproximadamente un 25-27%. Si la empresa no recupera la rentabilidad, la recuperabilidad de los activos por impuesto diferido podría cuestionarse.</t>
  </si>
  <si>
    <t>D) DESCOMPOSICIÓN DEL APALANCAMIENTO FINANCIERO (componentes por separado)</t>
  </si>
  <si>
    <t>Interpretación</t>
  </si>
  <si>
    <t>Activo / Patrimonio Neto (A/PN)</t>
  </si>
  <si>
    <t>Mide el peso de la deuda sobre los FFPP. Aumenta fuertemente (descapitalización).</t>
  </si>
  <si>
    <t>Efecto de los gastos financieros sobre el BAII. Ratio engañoso con BAI y BAII negativos.</t>
  </si>
  <si>
    <t>APALANCAMIENTO FINANCIERO (A/PN × BAI/BAII)</t>
  </si>
  <si>
    <t>AF &gt; 1 matemáticamente pero el signo es espurio por beneficios negativos.</t>
  </si>
  <si>
    <t>E) TERMÓMETRO DE LA RENTABILIDAD — Comparativa con alternativas de inversión</t>
  </si>
  <si>
    <t>ALTERNATIVA DE INVERSIÓN</t>
  </si>
  <si>
    <t>Rentabilidad anual aprox. 2023</t>
  </si>
  <si>
    <t>Nivel de riesgo</t>
  </si>
  <si>
    <t>Comparación con ROE Acerinox (-367,6%)</t>
  </si>
  <si>
    <t>Depósito bancario a plazo fijo</t>
  </si>
  <si>
    <t>Muy bajo</t>
  </si>
  <si>
    <t>Muy superior a Acerinox</t>
  </si>
  <si>
    <t>Bono del Estado español 10 años</t>
  </si>
  <si>
    <t>Bajo</t>
  </si>
  <si>
    <t>Inflación media zona euro 2023</t>
  </si>
  <si>
    <t>— (referencia)</t>
  </si>
  <si>
    <t>Acerinox no preserva poder adquisitivo</t>
  </si>
  <si>
    <t>IBEX-35 (rendimiento medio anualizado)</t>
  </si>
  <si>
    <t>Medio-alto</t>
  </si>
  <si>
    <t>Fondo de renta variable global</t>
  </si>
  <si>
    <t>Alto</t>
  </si>
  <si>
    <t>ROE Acerinox 2023</t>
  </si>
  <si>
    <t>Muy alto (descapitalización)</t>
  </si>
  <si>
    <t>Destruye valor para el accionista</t>
  </si>
  <si>
    <t>F) RECOMENDACIÓN — ¿Conviene aumentar la deuda?</t>
  </si>
  <si>
    <t>CRITERIO</t>
  </si>
  <si>
    <t>Valor 2023</t>
  </si>
  <si>
    <t>Condición favorable</t>
  </si>
  <si>
    <t>Veredicto</t>
  </si>
  <si>
    <t>ROA &gt; Coste de la deuda</t>
  </si>
  <si>
    <t>ROA -19,7% vs CD 3,6%</t>
  </si>
  <si>
    <t>ROA debe superar CD</t>
  </si>
  <si>
    <t>INCUMPLE (diferencial -23,3 p.p.)</t>
  </si>
  <si>
    <t>AF aparente &gt; 1</t>
  </si>
  <si>
    <t>AF &gt; 1</t>
  </si>
  <si>
    <t>Se cumple solo numéricamente; el signo es espurio (beneficios negativos)</t>
  </si>
  <si>
    <t>Nivel de endeudamiento actual</t>
  </si>
  <si>
    <t>&lt; 0,60 (prudente)</t>
  </si>
  <si>
    <t>MUY ALTO — cerca del 95% del activo es deuda</t>
  </si>
  <si>
    <t>VEREDICTO FINAL</t>
  </si>
  <si>
    <t>NO ENDEUDARSE</t>
  </si>
  <si>
    <t>—</t>
  </si>
  <si>
    <t>Prioridad: recuperar rentabilidad y RECAPITALIZAR (ampliación capital)</t>
  </si>
  <si>
    <t>Conclusión: A diferencia de Canoliva (ROA 10% &gt; CD 1% y AF &gt; 1, donde convendría endeudarse pero no por exceso de deuda actual), Acerinox está en la situación opuesta: el ROA es negativo y muy inferior al coste de la deuda, por lo que cualquier deuda adicional AMPLIFICA las pérdidas para el accionista. La prioridad estratégica es: (1) recuperar el margen bruto, (2) ampliación de capital para reforzar FFPP (cayeron un 78%) y evitar la descapitalización, (3) reducir deuda si es posible y renegociar condiciones. Solo cuando el ROA vuelva a ser claramente superior al coste de la deuda podría plantearse usar apalancamiento para mejorar ROE.</t>
  </si>
  <si>
    <t>7. ANÁLISIS DEL FONDO DE MANIOBRA</t>
  </si>
  <si>
    <t>A) FONDO DE MANIOBRA: GLOBAL, OPERATIVO Y EXTRAOPERATIVO</t>
  </si>
  <si>
    <t>Concepto</t>
  </si>
  <si>
    <t>Variación abs.</t>
  </si>
  <si>
    <t>FM GLOBAL (AC – PC)</t>
  </si>
  <si>
    <t>FM OPERATIVO</t>
  </si>
  <si>
    <t xml:space="preserve">  (+) Existencias</t>
  </si>
  <si>
    <t xml:space="preserve">  (+) Deudores comerciales y otras cuentas a cobrar</t>
  </si>
  <si>
    <t xml:space="preserve">  (+) Periodificaciones a corto plazo</t>
  </si>
  <si>
    <t xml:space="preserve">  (=) AC operativo</t>
  </si>
  <si>
    <t xml:space="preserve">  (–) Acreedores comerciales y otras cuentas a pagar</t>
  </si>
  <si>
    <t xml:space="preserve">  (=) PC operativo</t>
  </si>
  <si>
    <t>FM OPERATIVO (AC op. – PC op.)</t>
  </si>
  <si>
    <t>FM EXTRAOPERATIVO</t>
  </si>
  <si>
    <t xml:space="preserve">  (+) Inversiones en empresas del grupo a corto plazo</t>
  </si>
  <si>
    <t xml:space="preserve">  (+) Inversiones financieras a corto plazo</t>
  </si>
  <si>
    <t xml:space="preserve">  (+) Efectivo y equivalentes</t>
  </si>
  <si>
    <t xml:space="preserve">  (=) AC extraoperativo</t>
  </si>
  <si>
    <t xml:space="preserve">  (–) Deudas a corto plazo (financieras)</t>
  </si>
  <si>
    <t xml:space="preserve">  (–) Deudas con empresas del grupo a corto plazo</t>
  </si>
  <si>
    <t xml:space="preserve">  (=) PC extraoperativo</t>
  </si>
  <si>
    <t>FM EXTRAOPERATIVO (AC extraop. – PC extraop.)</t>
  </si>
  <si>
    <t>COMPROBACIÓN: FM global = FM operativo + FM extraoperativo</t>
  </si>
  <si>
    <t>B) CÁLCULO DE LOS PLAZOS MEDIOS (en días)</t>
  </si>
  <si>
    <t>Datos base (miles €)</t>
  </si>
  <si>
    <t>Compras (Aprovisionamientos, valor abs.)</t>
  </si>
  <si>
    <t>Variación de existencias (PT+PC)</t>
  </si>
  <si>
    <t>Coste de fabricación (Compras ± Var. Exist. totales)</t>
  </si>
  <si>
    <t>Coste de ventas (Aprovisionamientos ± Var. Exist., valor abs.)</t>
  </si>
  <si>
    <t>Materias primas (saldo)</t>
  </si>
  <si>
    <t>Productos en curso (saldo)</t>
  </si>
  <si>
    <t>Productos terminados + Subproductos (saldo)</t>
  </si>
  <si>
    <t>Clientes (ventas + grupo − anticipos)</t>
  </si>
  <si>
    <t>Proveedores (acreedores comerciales y otras cuentas a pagar)</t>
  </si>
  <si>
    <t>Ratio de plazo</t>
  </si>
  <si>
    <t>2023 (días)</t>
  </si>
  <si>
    <t>2022 (días)</t>
  </si>
  <si>
    <t>Plazo almacenamiento Materias Primas</t>
  </si>
  <si>
    <t>MP / Compras × 365</t>
  </si>
  <si>
    <t>Plazo Productos en Curso</t>
  </si>
  <si>
    <t>PC / Coste fabricación × 365</t>
  </si>
  <si>
    <t>Plazo Productos Terminados</t>
  </si>
  <si>
    <t>PT / Coste ventas × 365</t>
  </si>
  <si>
    <t>Plazo de Cobro a Clientes</t>
  </si>
  <si>
    <t>Clientes / Ventas × 365</t>
  </si>
  <si>
    <t>CICLO DE MADURACIÓN (días)</t>
  </si>
  <si>
    <t>Suma plazos MP+PC+PT+Cobro</t>
  </si>
  <si>
    <t>Plazo de Pago a Proveedores</t>
  </si>
  <si>
    <t>Proveedores / Compras × 365</t>
  </si>
  <si>
    <t>CICLO DE CAJA (días)</t>
  </si>
  <si>
    <t>Ciclo Maduración – Plazo Pago</t>
  </si>
  <si>
    <t>C) ANÁLISIS VERTICAL (2023)</t>
  </si>
  <si>
    <t>Fondo de Maniobra — El FM global es NEGATIVO (-406.341 miles €), lo que revela que Acerinox financia parte de su Activo No Corriente con Pasivo Corriente. Situación de desequilibrio financiero con riesgo de suspensión de pagos. El FM operativo es positivo (343.370) porque las partidas de explotación (existencias y clientes) superan a los acreedores comerciales. Sin embargo, el FM extraoperativo es muy negativo (-749.711) por la fortísima carga de deudas financieras a corto plazo (221.802) y, sobre todo, deudas con empresas del grupo (532.208), que superan en mucho a la tesorería e inversiones financieras disponibles (4.299).</t>
  </si>
  <si>
    <t>Plazos (2023) — Empresa industrial: stock de MP 51,6 días, PC 38,8 días y PT 42,6 días, sumando 133 días de almacenamiento. Plazo de cobro 48,0 días. Ciclo de maduración 181 días (por encima de la media de un industrial típico, 90-120 días). Plazo de pago a proveedores 89,0 días, por encima del límite legal de 60 días (Ley 15/2010). Ciclo de caja 92 días: la empresa debe financiar con recursos propios o ajenos 92 días de actividad.</t>
  </si>
  <si>
    <t>D) ANÁLISIS HORIZONTAL (2023 vs 2022)</t>
  </si>
  <si>
    <t>Fondo de Maniobra — El FM global empeora un 162% (de -154.788 a -406.341), pasando de un desequilibrio leve a uno crítico. El FM operativo cae un 33% (de 514.556 a 343.370), principalmente por el aumento de proveedores (+25%) y la reducción de clientes (-23%) y existencias (-12%) ligada a la caída de ventas (-31%). El FM extraoperativo empeora un 12% (más negativo) porque crecen las deudas con el grupo (+18%) mientras la tesorería apenas ha subido.</t>
  </si>
  <si>
    <t>Plazos — El ciclo de maduración se alarga 10 días (181 vs 171). Todos los plazos de almacenamiento suben: MP +5 días, PC +5 días, PT +1 día; efecto típico cuando caen las ventas sin ajustar compras. El plazo de cobro se mantiene prácticamente plano (48 vs 48). En cambio, el plazo de PAGO a proveedores se dispara 33 días (89 vs 56): la empresa retrasa el pago para compensar el empeoramiento de liquidez. Gracias a ello, el ciclo de caja se reduce respecto a 2022, pero esta mejora es engañosa: no viene de mayor eficiencia operativa sino de financiarse a costa de los proveedores.</t>
  </si>
  <si>
    <t>E) CONCLUSIONES</t>
  </si>
  <si>
    <t>1. DESEQUILIBRIO FINANCIERO GRAVE: FM global negativo y deteriorado. La empresa financia inversiones estructurales con deuda a corto plazo, principalmente préstamos intragrupo.</t>
  </si>
  <si>
    <t>2. PLAZOS POCO EFICIENTES: Ciclo de maduración de 181 días es elevado. Existencias crecen a pesar de la caída de ventas.</t>
  </si>
  <si>
    <t>3. DEPENDENCIA DEL GRUPO Y PROVEEDORES: La principal fuente de financiación corriente son las deudas con empresas del grupo (532 Mm€, +18%) y los acreedores comerciales (277 Mm€, +25%). Alargar el pago más allá de los 60 días legales (Ley 15/2010) es un riesgo de morosidad y de relación con los proveedores.</t>
  </si>
  <si>
    <t>4. RECOMENDACIÓN: Renegociar deuda intragrupo a largo plazo (conversión en Pasivo No Corriente o en capital); acortar ciclo de maduración reduciendo stocks y plazo de cobro; evitar aumentar más el plazo de pago a proveedores para no incurrir en morosidad.</t>
  </si>
  <si>
    <t>8. ANÁLISIS DEL ESTADO DE FLUJOS DE EFECTIVO (EFE) — ACERINOX EUROPA S.A.U.</t>
  </si>
  <si>
    <t>A) Estado oficial — formato PGC (miles €)</t>
  </si>
  <si>
    <t>A) FLUJOS DE EFECTIVO DE ACTIVIDADES DE EXPLOTACIÓN</t>
  </si>
  <si>
    <t xml:space="preserve">  1. Resultado del ejercicio antes de impuestos</t>
  </si>
  <si>
    <t xml:space="preserve">  2. Ajustes del resultado</t>
  </si>
  <si>
    <t xml:space="preserve">     a) Amortización del inmovilizado (+)</t>
  </si>
  <si>
    <t xml:space="preserve">     b) Correcciones valorativas por deterioro (+/-)</t>
  </si>
  <si>
    <t xml:space="preserve">     c) Variación de provisiones (+/-)</t>
  </si>
  <si>
    <t xml:space="preserve">     d) Imputación de subvenciones (-)</t>
  </si>
  <si>
    <t xml:space="preserve">     e) Resultados por bajas y enajenaciones (+/-)</t>
  </si>
  <si>
    <t xml:space="preserve">     g) Ingresos financieros (-)</t>
  </si>
  <si>
    <t xml:space="preserve">     h) Gastos financieros (+)</t>
  </si>
  <si>
    <t xml:space="preserve">     k) Otros ingresos y gastos (+/-)</t>
  </si>
  <si>
    <t xml:space="preserve">  3. Cambios en el capital corriente</t>
  </si>
  <si>
    <t xml:space="preserve">     a) Existencias (+/-)</t>
  </si>
  <si>
    <t xml:space="preserve">     b) Deudores y otras cuentas a cobrar (+/-)</t>
  </si>
  <si>
    <t xml:space="preserve">     c) Otros activos corrientes (+/-)</t>
  </si>
  <si>
    <t xml:space="preserve">     d) Acreedores y otras cuentas a pagar (+/-)</t>
  </si>
  <si>
    <t xml:space="preserve">     e) Otros pasivos corrientes (+/-)</t>
  </si>
  <si>
    <t xml:space="preserve">  4. Otros flujos de efectivo de explotación</t>
  </si>
  <si>
    <t xml:space="preserve">     a) Pagos de intereses (-)</t>
  </si>
  <si>
    <t xml:space="preserve">     c) Cobros de intereses (+)</t>
  </si>
  <si>
    <t xml:space="preserve">     d) Pagos (cobros) por impuesto sobre beneficios</t>
  </si>
  <si>
    <t>B) FLUJOS DE EFECTIVO DE INVERSIÓN</t>
  </si>
  <si>
    <t xml:space="preserve">  6. Pagos por inversiones (-)</t>
  </si>
  <si>
    <t xml:space="preserve">     b) Inmovilizado intangible</t>
  </si>
  <si>
    <t xml:space="preserve">     c) Inmovilizado material</t>
  </si>
  <si>
    <t xml:space="preserve">     e) Otros activos financieros</t>
  </si>
  <si>
    <t xml:space="preserve">  7. Cobros por desinversiones (+)</t>
  </si>
  <si>
    <t xml:space="preserve">  9. Cobros y pagos por instrumentos de patrimonio</t>
  </si>
  <si>
    <t xml:space="preserve">  10. Cobros y pagos por instrumentos de pasivo financiero</t>
  </si>
  <si>
    <t xml:space="preserve">     a) Emisión: Deudas con entidades de crédito</t>
  </si>
  <si>
    <t xml:space="preserve">     b) Emisión: Deudas con empresas del grupo</t>
  </si>
  <si>
    <t xml:space="preserve">     c) Emisión: Otras deudas</t>
  </si>
  <si>
    <t xml:space="preserve">     d) Devolución y amortización de deudas</t>
  </si>
  <si>
    <t>C) FLUJOS DE EFECTIVO DE FINANCIACIÓN</t>
  </si>
  <si>
    <t>E) AUMENTO/DISMINUCIÓN NETA DEL EFECTIVO (A+B+C)</t>
  </si>
  <si>
    <t>Efectivo y equivalentes al inicio del ejercicio</t>
  </si>
  <si>
    <t>Efectivo y equivalentes al final del ejercicio (segun EFE)</t>
  </si>
  <si>
    <t>Nota técnica: El efectivo al cierre del ejercicio 2023 según el EFE oficial (2.841 miles €) difiere del saldo de la rúbrica VII 'Efectivo y otros activos líquidos equivalentes' del Activo Corriente del Balance (3.449 miles €) en 608 miles €. Esta discrepancia, habitual cuando se incluyen descubiertos bancarios netos o equivalentes asimilados, no afecta a la consistencia interna del EFE: la identidad A+B+C=ΔEfectivo se cumple en ambos ejercicios (+1.566 en 2023, 0 en 2022). Para el análisis se utilizan los datos del EFE oficial.</t>
  </si>
  <si>
    <t>B) Reclasificación analítica gerencial — enfoque por generación de caja (miles €)</t>
  </si>
  <si>
    <t>Magnitud</t>
  </si>
  <si>
    <t>Var.</t>
  </si>
  <si>
    <t>EBITDA (BAII + Amortizaciones + Resultados por bajas)</t>
  </si>
  <si>
    <t>(+/-) Variación del capital corriente operativo</t>
  </si>
  <si>
    <t>(-) Impuestos pagados</t>
  </si>
  <si>
    <t>(-) Intereses pagados netos</t>
  </si>
  <si>
    <t>Flujo de Caja Operativo (FCO) = subtotal A oficial</t>
  </si>
  <si>
    <t>(-) CAPEX (inversión neta en inmovilizado) = subtotal B</t>
  </si>
  <si>
    <t>Flujo de Caja Libre (FCF) = FCO + CAPEX</t>
  </si>
  <si>
    <t>(+) Flujos de financiación (subtotal C)</t>
  </si>
  <si>
    <t>= Variación neta de tesorería (cuadra con Δ Balance D76-C76)</t>
  </si>
  <si>
    <t>C) Diagnóstico de la generación y aplicación de caja</t>
  </si>
  <si>
    <t>Conclusión 1 — EBITDA y FCO: deterioro brusco de la generación operativa</t>
  </si>
  <si>
    <t>El EBITDA cae de -39.994 mil € (2022) a -188.562 mil € (2023): la actividad ordinaria deja de cubrir incluso amortizaciones. El FCO oficial es muy negativo en ambos ejercicios (-46.571 mil € en 2023, -80.827 mil € en 2022), pero mejora 34.256 mil € gracias a una fuerte liberación de capital corriente (+200.444 mil €) por reducción de existencias (+86.779) y cobros de clientes (+60.028). Esta mejora es NO recurrente: el dato estructural sigue siendo de crisis operativa.</t>
  </si>
  <si>
    <t>Conclusión 2 — CAPEX sostenido pese a la crisis operativa</t>
  </si>
  <si>
    <t>La empresa mantiene un CAPEX elevado: -43.498 mil € en 2023 y -44.996 mil € en 2022 (esencialmente inmovilizado material). En un ejercicio con FCO negativo de -46.571 mil €, el CAPEX deja un FCF de -90.069 mil €, que debe financiarse íntegramente con deuda. La intensidad inversora compromete aún más la solvencia futura.</t>
  </si>
  <si>
    <t>Conclusión 3 — La financiación absorbe todo el déficit de caja (“dependencia del grupo”)</t>
  </si>
  <si>
    <t>El flujo neto de financiación es muy positivo: +91.635 mil € en 2023 y +125.823 mil € en 2022, procedente del desglose oficial de la memoria. Este flujo corresponde principalmente al aumento de deudas con empresas del grupo (+84.082 en 2023) y, en menor medida, con entidades de crédito (+4.389). La matriz está capitalizando a la filial vía deuda, lo cual evita una crisis de liquidez pero traslada la dependencia al apoyo de Acerinox S.A.</t>
  </si>
  <si>
    <t>Conclusión 4 — Pagos de intereses se duplican y compriman aún más la caja</t>
  </si>
  <si>
    <t>Los pagos por intereses pasan de -15.905 mil € (2022) a -37.683 mil € (2023), un +137%. Combinado con un EBITDA destruido, la empresa pierde capacidad de hacer frente a su servicio de la deuda con flujos propios. La cobertura EBITDA/Intereses es netamente negativa: el servicio de la deuda se paga con caja procedente del grupo.</t>
  </si>
  <si>
    <t>Conclusión 5 — Variación de tesorería cuadrada y reducida</t>
  </si>
  <si>
    <t>La variación neta de tesorería 2023 según el EFE oficial es de +1.566 mil €. El saldo de la rúbrica VII del Balance al cierre (3.449 €) presenta una discrepancia de 608 € con el efectivo final del EFE, habitual por reclasificaciones de equivalentes. El nivel absoluto de tesorería sigue siendo muy reducido (~0,25% del activo total), lo que confirma una posición de liquidez frágil aunque sin tensiones inmediatas gracias al respaldo del grupo.</t>
  </si>
  <si>
    <t>D) Ratios de calidad de los flujos de caja</t>
  </si>
  <si>
    <t>Ratio</t>
  </si>
  <si>
    <t>FCO / Ventas</t>
  </si>
  <si>
    <t>Caja generada por cada € vendido. Negativo en ambos: la actividad destruye caja.</t>
  </si>
  <si>
    <t>EBITDA / Ventas (margen EBITDA)</t>
  </si>
  <si>
    <t>Rentabilidad operativa antes de amortizaciones. Negativo en 2023 (-15,5%) ⇒ destrucción de valor en la actividad ordinaria.</t>
  </si>
  <si>
    <t>FCF / FCO (intensidad inversora)</t>
  </si>
  <si>
    <t>Cuanto más elevado y negativo, mayor déficit de caja libre tras CAPEX.</t>
  </si>
  <si>
    <t>Cobertura intereses con FCO (FCO antes intereses / Intereses)</t>
  </si>
  <si>
    <t>Debe ser &gt; 1. Negativo o bajo ⇒ el FCO no cubre el servicio de la deuda.</t>
  </si>
  <si>
    <t>Autofinanciación del CAPEX (FCO / |CAPEX|)</t>
  </si>
  <si>
    <t>% del CAPEX cubierto con caja operativa. &lt; 100% ⇒ hay que financiar la diferencia con deuda.</t>
  </si>
  <si>
    <t>Dependencia de financiación externa (Flujos C / (|FCO|+|CAPEX|))</t>
  </si>
  <si>
    <t>% en que la financiación externa cubre el déficit de caja libre. &gt; 100% indica que la deuda no sólo cubre el FCF sino que además engorda la posición de tesorería.</t>
  </si>
  <si>
    <t>Saldo de tesorería / Activo total</t>
  </si>
  <si>
    <t>Liquidez inmediata sobre el balance. Muy bajo ⇒ riesgo de liquidez si falla el apoyo del grupo.</t>
  </si>
  <si>
    <t>E) Conclusión integrada del análisis de flujos</t>
  </si>
  <si>
    <t>Síntesis de las cinco grandes lecturas del EFE 2023</t>
  </si>
  <si>
    <t>1. La actividad ordinaria deja de generar caja: el EBITDA se hunde de -39.994 a -188.562 mil € (margen EBITDA -14,4%) y el FCO sigue siendo muy negativo (-46.571 mil €) pese a haber liberado 200 millones de capital corriente. Sin esa palanca puntual, el FCO real estructural sería del orden de -250 millones.</t>
  </si>
  <si>
    <t>2. El CAPEX se mantiene en niveles de inversión normal (-43,5 millones, similar a 2022). En un contexto donde el FCO es negativo, todo este CAPEX se financia con deuda: el FCF llega a -90,1 millones, frente a -125,8 millones en 2022.</t>
  </si>
  <si>
    <t>3. La financiación externa absorbe íntegramente el déficit: +87,9 millones en 2023 cubren el 97,6% del FCF negativo. Esta financiación procede mayoritariamente del grupo Acerinox (cuentas con empresas del grupo) y de pólizas a corto plazo con entidades de crédito. La filial es funcionalmente sostenida por la matriz.</t>
  </si>
  <si>
    <t>4. El servicio de la deuda se ha encarecido: pagos por intereses x2,4 (de 15,9 a 37,7 millones) por la subida de tipos del BCE. La cobertura de intereses con FCO es negativa, signo claro de tensión financiera estructural.</t>
  </si>
  <si>
    <t>5. La tesorería final (2.841 mil € según EFE; 3.449 € según Balance, ~0,25% del activo) es testimonial: la operativa diaria solo es posible porque existen líneas y cuentas con la matriz a disposición inmediata. La empresa, aislada de Acerinox S.A., tendría una crisis de liquidez inmediata.</t>
  </si>
  <si>
    <t xml:space="preserve"> </t>
  </si>
  <si>
    <t>El análisis de flujos confirma el diagnóstico de los estados anteriores: ACERINOX EUROPA S.A.U. atraviesa una crisis operativa profunda en 2023 (huelgas, demanda débil, costes energéticos) que destruye la capacidad de generación de caja propia. La situación no ha desembocado en concurso porque el grupo Acerinox proporciona financiación intra-grupo abundante y a coste reducido (coste medio 2,3%). La sostenibilidad a medio plazo depende de:</t>
  </si>
  <si>
    <t xml:space="preserve">    • Recuperación del margen EBITDA (vuelta a tasas históricas +5/+8%)</t>
  </si>
  <si>
    <t xml:space="preserve">    • Continuidad del apoyo financiero de la matriz</t>
  </si>
  <si>
    <t xml:space="preserve">    • Contención del CAPEX hasta que la actividad se normalice</t>
  </si>
  <si>
    <t xml:space="preserve">    • Gestión activa del coste de la deuda (refinanciación a tipos más bajos cuando el BCE relaje)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</si>
</sst>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164" formatCode="#,##0;\(#,##0\);&quot;-&quot;"/>
    <numFmt numFmtId="165" formatCode="0.000"/>
    <numFmt numFmtId="166" formatCode="0.0"/>
    <numFmt numFmtId="167" formatCode="#,##0;\(#,##0\)"/>
    <numFmt numFmtId="168" formatCode="0.00&quot;%&quot;"/>
    <numFmt numFmtId="169" formatCode="#,##0.00\ &quot;€&quot;"/>
    <numFmt numFmtId="170" formatCode="#,##0;\(#,##0\);\-"/>
    <numFmt numFmtId="171" formatCode="0.0%;\(0.0%\);\-"/>
    <numFmt numFmtId="172" formatCode="0.00%;\(0.00%\);\-"/>
    <numFmt numFmtId="173" formatCode="0.0%"/>
  </numFmts>
  <fonts count="48">
    <font>
      <sz val="11"/>
      <color theme="1"/>
      <name val="Calibri"/>
      <family val="2"/>
      <scheme val="minor"/>
    </font>
    <font>
      <i/>
      <sz val="11"/>
      <color theme="1"/>
      <name val="Calibri"/>
      <family val="2"/>
      <scheme val="minor"/>
    </font>
    <font>
      <b/>
      <sz val="16"/>
      <color theme="1"/>
      <name val="Calibri"/>
      <family val="2"/>
      <scheme val="minor"/>
    </font>
    <font>
      <sz val="11"/>
      <color rgb="FFFF0000"/>
      <name val="Calibri"/>
      <family val="2"/>
      <scheme val="minor"/>
    </font>
    <font>
      <sz val="10"/>
      <color theme="1"/>
      <name val="Calibri"/>
      <family val="2"/>
      <scheme val="minor"/>
    </font>
    <font>
      <b/>
      <sz val="10"/>
      <color rgb="FF000000"/>
      <name val="Calibri"/>
      <family val="2"/>
    </font>
    <font>
      <sz val="10"/>
      <color rgb="FF000000"/>
      <name val="Calibri"/>
      <family val="2"/>
    </font>
    <font>
      <b/>
      <sz val="14"/>
      <color rgb="FFFFFFFF"/>
      <name val="Calibri"/>
      <family val="2"/>
    </font>
    <font>
      <b/>
      <sz val="10"/>
      <color rgb="FFFFFFFF"/>
      <name val="Calibri"/>
      <family val="2"/>
    </font>
    <font>
      <b/>
      <sz val="11"/>
      <color rgb="FFFFFFFF"/>
      <name val="Calibri"/>
      <family val="2"/>
    </font>
    <font>
      <b/>
      <sz val="10"/>
      <color rgb="FF1B2A4A"/>
      <name val="Calibri"/>
      <family val="2"/>
    </font>
    <font>
      <b/>
      <sz val="10"/>
      <color rgb="FFCC0000"/>
      <name val="Calibri"/>
      <family val="2"/>
    </font>
    <font>
      <b/>
      <sz val="12"/>
      <color rgb="FFFFFFFF"/>
      <name val="Calibri"/>
      <family val="2"/>
    </font>
    <font>
      <sz val="9"/>
      <color rgb="FF000000"/>
      <name val="Calibri"/>
      <family val="2"/>
    </font>
    <font>
      <b/>
      <sz val="10"/>
      <color rgb="FF2C3E6B"/>
      <name val="Calibri"/>
      <family val="2"/>
    </font>
    <font>
      <sz val="11"/>
      <color rgb="FF000000"/>
      <name val="Calibri"/>
      <family val="2"/>
      <scheme val="minor"/>
    </font>
    <font>
      <sz val="10"/>
      <color rgb="FF008000"/>
      <name val="Calibri"/>
      <family val="2"/>
    </font>
    <font>
      <sz val="12"/>
      <color rgb="FF000000"/>
      <name val="Calibri"/>
      <family val="2"/>
    </font>
    <font>
      <sz val="10"/>
      <color theme="1"/>
      <name val="Calibri"/>
      <family val="2"/>
    </font>
    <font>
      <b/>
      <sz val="10"/>
      <color theme="1"/>
      <name val="Calibri"/>
      <family val="2"/>
    </font>
    <font>
      <sz val="10"/>
      <color rgb="FFCC0000"/>
      <name val="Calibri"/>
      <family val="2"/>
    </font>
    <font>
      <b/>
      <sz val="9"/>
      <color rgb="FFCC0000"/>
      <name val="Calibri"/>
      <family val="2"/>
    </font>
    <font>
      <sz val="8"/>
      <color rgb="FFFFFFFF"/>
      <name val="Calibri"/>
      <family val="2"/>
      <scheme val="minor"/>
    </font>
    <font>
      <b/>
      <sz val="18"/>
      <color rgb="FFFFFFFF"/>
      <name val="Calibri"/>
      <family val="2"/>
    </font>
    <font>
      <b/>
      <sz val="11"/>
      <color theme="0"/>
      <name val="Calibri"/>
      <family val="2"/>
      <scheme val="minor"/>
    </font>
    <font>
      <sz val="9"/>
      <color theme="1"/>
      <name val="Calibri"/>
      <family val="2"/>
      <scheme val="minor"/>
    </font>
    <font>
      <b/>
      <i/>
      <sz val="10"/>
      <color rgb="FF2C3E6B"/>
      <name val="Calibri"/>
      <family val="2"/>
    </font>
    <font>
      <sz val="10"/>
      <color theme="1"/>
      <name val="Arial"/>
    </font>
    <font>
      <b/>
      <sz val="10"/>
      <color rgb="FFFFFFFF"/>
      <name val="Arial"/>
    </font>
    <font>
      <b/>
      <sz val="11"/>
      <color rgb="FFFFFFFF"/>
      <name val="Calibri"/>
    </font>
    <font>
      <b/>
      <sz val="10"/>
      <color rgb="FFFFFFFF"/>
      <name val="Calibri"/>
    </font>
    <font>
      <sz val="10"/>
      <color theme="1"/>
      <name val="Calibri"/>
    </font>
    <font>
      <b/>
      <sz val="10"/>
      <color theme="1"/>
      <name val="Calibri"/>
    </font>
    <font>
      <i/>
      <sz val="10"/>
      <color rgb="FF000000"/>
      <name val="Calibri"/>
    </font>
    <font>
      <sz val="10"/>
      <color rgb="FF000000"/>
      <name val="Calibri"/>
    </font>
    <font>
      <b/>
      <sz val="14"/>
      <color rgb="FFFFFFFF"/>
      <name val="Calibri"/>
    </font>
    <font>
      <b/>
      <sz val="10"/>
      <color rgb="FF000000"/>
      <name val="Calibri"/>
    </font>
    <font>
      <i/>
      <sz val="10"/>
      <color theme="1"/>
      <name val="Calibri"/>
    </font>
    <font>
      <b/>
      <i/>
      <sz val="10"/>
      <color theme="1"/>
      <name val="Calibri"/>
    </font>
    <font>
      <i/>
      <sz val="10"/>
      <color rgb="FF666666"/>
      <name val="Calibri"/>
    </font>
    <font>
      <b/>
      <i/>
      <sz val="10"/>
      <color rgb="FF666666"/>
      <name val="Calibri"/>
    </font>
    <font>
      <i/>
      <sz val="10"/>
      <color rgb="FF595959"/>
      <name val="Calibri"/>
    </font>
    <font>
      <b/>
      <i/>
      <sz val="10"/>
      <color rgb="FF595959"/>
      <name val="Calibri"/>
    </font>
    <font>
      <b/>
      <i/>
      <sz val="10"/>
      <color rgb="FF7F7F7F"/>
      <name val="Calibri"/>
    </font>
    <font>
      <b/>
      <sz val="10"/>
      <color rgb="FFC00000"/>
      <name val="Calibri"/>
    </font>
    <font>
      <b/>
      <sz val="10"/>
      <color rgb="FF385723"/>
      <name val="Calibri"/>
    </font>
    <font>
      <b/>
      <sz val="10"/>
      <color rgb="FF1B2A4A"/>
      <name val="Calibri"/>
    </font>
    <font>
      <sz val="11"/>
      <color theme="0"/>
      <name val="Calibri"/>
      <family val="2"/>
      <scheme val="minor"/>
    </font>
  </fonts>
  <fills count="25">
    <fill>
      <patternFill patternType="none"/>
    </fill>
    <fill>
      <patternFill patternType="gray125"/>
    </fill>
    <fill>
      <patternFill patternType="solid">
        <fgColor rgb="FFFFFFFF"/>
        <bgColor indexed="64"/>
      </patternFill>
    </fill>
    <fill>
      <patternFill patternType="solid">
        <fgColor rgb="FF1B2A4A"/>
        <bgColor indexed="64"/>
      </patternFill>
    </fill>
    <fill>
      <patternFill patternType="solid">
        <fgColor rgb="FF2C3E6B"/>
        <bgColor indexed="64"/>
      </patternFill>
    </fill>
    <fill>
      <patternFill patternType="solid">
        <fgColor rgb="FFC5D0E0"/>
        <bgColor indexed="64"/>
      </patternFill>
    </fill>
    <fill>
      <patternFill patternType="solid">
        <fgColor rgb="FFE8EDF3"/>
        <bgColor indexed="64"/>
      </patternFill>
    </fill>
    <fill>
      <patternFill patternType="solid">
        <fgColor rgb="FFD6DCE4"/>
        <bgColor indexed="64"/>
      </patternFill>
    </fill>
    <fill>
      <patternFill patternType="solid">
        <fgColor rgb="FFFFF2CC"/>
        <bgColor indexed="64"/>
      </patternFill>
    </fill>
    <fill>
      <patternFill patternType="solid">
        <fgColor rgb="FFFFF8E1"/>
        <bgColor indexed="64"/>
      </patternFill>
    </fill>
    <fill>
      <patternFill patternType="solid">
        <fgColor rgb="FFFEFCE8"/>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8B0000"/>
        <bgColor indexed="64"/>
      </patternFill>
    </fill>
    <fill>
      <patternFill patternType="solid">
        <fgColor rgb="FF006400"/>
        <bgColor indexed="64"/>
      </patternFill>
    </fill>
    <fill>
      <patternFill patternType="solid">
        <fgColor rgb="FFF2F2F2"/>
        <bgColor indexed="64"/>
      </patternFill>
    </fill>
    <fill>
      <patternFill patternType="solid">
        <fgColor rgb="FFFDE8E8"/>
        <bgColor indexed="64"/>
      </patternFill>
    </fill>
    <fill>
      <patternFill patternType="solid">
        <fgColor rgb="FFE8F5E8"/>
        <bgColor indexed="64"/>
      </patternFill>
    </fill>
    <fill>
      <patternFill patternType="solid">
        <fgColor rgb="FFD6DCE8"/>
        <bgColor indexed="64"/>
      </patternFill>
    </fill>
    <fill>
      <patternFill patternType="solid">
        <fgColor rgb="FFC6CFE0"/>
        <bgColor indexed="64"/>
      </patternFill>
    </fill>
    <fill>
      <patternFill patternType="solid">
        <fgColor rgb="FFB8C4DB"/>
        <bgColor indexed="64"/>
      </patternFill>
    </fill>
    <fill>
      <patternFill patternType="solid">
        <fgColor rgb="FFB84A4A"/>
        <bgColor indexed="64"/>
      </patternFill>
    </fill>
    <fill>
      <patternFill patternType="solid">
        <fgColor rgb="FFF8CECC"/>
        <bgColor indexed="64"/>
      </patternFill>
    </fill>
    <fill>
      <patternFill patternType="solid">
        <fgColor rgb="FFD5E3D5"/>
        <bgColor indexed="64"/>
      </patternFill>
    </fill>
    <fill>
      <patternFill patternType="solid">
        <fgColor rgb="FFD9E1F2"/>
        <bgColor indexed="64"/>
      </patternFill>
    </fill>
  </fills>
  <borders count="140">
    <border>
      <left/>
      <right/>
      <top/>
      <bottom/>
      <diagonal/>
    </border>
    <border>
      <left/>
      <right/>
      <top style="thin">
        <color rgb="FF8FAADC"/>
      </top>
      <bottom/>
      <diagonal/>
    </border>
    <border>
      <left style="thin">
        <color rgb="FF8FAADC"/>
      </left>
      <right/>
      <top style="thin">
        <color rgb="FF8FAADC"/>
      </top>
      <bottom/>
      <diagonal/>
    </border>
    <border>
      <left/>
      <right style="thin">
        <color rgb="FF8FAADC"/>
      </right>
      <top style="thin">
        <color rgb="FF8FAADC"/>
      </top>
      <bottom/>
      <diagonal/>
    </border>
    <border>
      <left style="thin">
        <color rgb="FF8FAADC"/>
      </left>
      <right/>
      <top/>
      <bottom/>
      <diagonal/>
    </border>
    <border>
      <left/>
      <right style="thin">
        <color rgb="FF8FAADC"/>
      </right>
      <top/>
      <bottom/>
      <diagonal/>
    </border>
    <border>
      <left style="thin">
        <color rgb="FF8FAADC"/>
      </left>
      <right/>
      <top style="thin">
        <color rgb="FF8FAADC"/>
      </top>
      <bottom style="thin">
        <color rgb="FFD0D8E8"/>
      </bottom>
      <diagonal/>
    </border>
    <border>
      <left/>
      <right/>
      <top style="thin">
        <color rgb="FF8FAADC"/>
      </top>
      <bottom style="thin">
        <color rgb="FFD0D8E8"/>
      </bottom>
      <diagonal/>
    </border>
    <border>
      <left/>
      <right style="thin">
        <color rgb="FF8FAADC"/>
      </right>
      <top style="thin">
        <color rgb="FF8FAADC"/>
      </top>
      <bottom style="thin">
        <color rgb="FFD0D8E8"/>
      </bottom>
      <diagonal/>
    </border>
    <border>
      <left style="thin">
        <color rgb="FF8FAADC"/>
      </left>
      <right/>
      <top style="thin">
        <color rgb="FFD0D8E8"/>
      </top>
      <bottom style="thin">
        <color rgb="FFD0D8E8"/>
      </bottom>
      <diagonal/>
    </border>
    <border>
      <left/>
      <right/>
      <top style="thin">
        <color rgb="FFD0D8E8"/>
      </top>
      <bottom style="thin">
        <color rgb="FFD0D8E8"/>
      </bottom>
      <diagonal/>
    </border>
    <border>
      <left/>
      <right style="thin">
        <color rgb="FF8FAADC"/>
      </right>
      <top style="thin">
        <color rgb="FFD0D8E8"/>
      </top>
      <bottom style="thin">
        <color rgb="FFD0D8E8"/>
      </bottom>
      <diagonal/>
    </border>
    <border>
      <left style="thin">
        <color rgb="FF8FAADC"/>
      </left>
      <right/>
      <top style="thin">
        <color rgb="FFD0D8E8"/>
      </top>
      <bottom style="thin">
        <color rgb="FF8FAADC"/>
      </bottom>
      <diagonal/>
    </border>
    <border>
      <left/>
      <right style="thin">
        <color rgb="FF8FAADC"/>
      </right>
      <top style="thin">
        <color rgb="FFD0D8E8"/>
      </top>
      <bottom style="thin">
        <color rgb="FF8FAADC"/>
      </bottom>
      <diagonal/>
    </border>
    <border>
      <left style="thin">
        <color rgb="FF8FAADC"/>
      </left>
      <right/>
      <top style="thin">
        <color rgb="FFD0D8E8"/>
      </top>
      <bottom/>
      <diagonal/>
    </border>
    <border>
      <left/>
      <right/>
      <top style="thin">
        <color rgb="FFD0D8E8"/>
      </top>
      <bottom/>
      <diagonal/>
    </border>
    <border>
      <left/>
      <right style="thin">
        <color rgb="FF8FAADC"/>
      </right>
      <top style="thin">
        <color rgb="FFD0D8E8"/>
      </top>
      <bottom/>
      <diagonal/>
    </border>
    <border>
      <left style="thin">
        <color rgb="FF8FAADC"/>
      </left>
      <right/>
      <top style="double">
        <color rgb="FF1B2A4A"/>
      </top>
      <bottom style="double">
        <color rgb="FF1B2A4A"/>
      </bottom>
      <diagonal/>
    </border>
    <border>
      <left/>
      <right/>
      <top style="double">
        <color rgb="FF1B2A4A"/>
      </top>
      <bottom style="double">
        <color rgb="FF1B2A4A"/>
      </bottom>
      <diagonal/>
    </border>
    <border>
      <left/>
      <right style="thin">
        <color rgb="FF8FAADC"/>
      </right>
      <top style="double">
        <color rgb="FF1B2A4A"/>
      </top>
      <bottom style="double">
        <color rgb="FF1B2A4A"/>
      </bottom>
      <diagonal/>
    </border>
    <border>
      <left style="thin">
        <color rgb="FF8FAADC"/>
      </left>
      <right/>
      <top/>
      <bottom style="thin">
        <color rgb="FFD0D8E8"/>
      </bottom>
      <diagonal/>
    </border>
    <border>
      <left/>
      <right/>
      <top/>
      <bottom style="thin">
        <color rgb="FFD0D8E8"/>
      </bottom>
      <diagonal/>
    </border>
    <border>
      <left/>
      <right style="thin">
        <color rgb="FF8FAADC"/>
      </right>
      <top/>
      <bottom style="thin">
        <color rgb="FFD0D8E8"/>
      </bottom>
      <diagonal/>
    </border>
    <border>
      <left style="thin">
        <color rgb="FF8FAADC"/>
      </left>
      <right style="thin">
        <color rgb="FFD0D8E8"/>
      </right>
      <top style="thin">
        <color rgb="FF8FAADC"/>
      </top>
      <bottom style="thin">
        <color rgb="FFD0D8E8"/>
      </bottom>
      <diagonal/>
    </border>
    <border>
      <left style="thin">
        <color rgb="FFD0D8E8"/>
      </left>
      <right style="thin">
        <color rgb="FFD0D8E8"/>
      </right>
      <top style="thin">
        <color rgb="FF8FAADC"/>
      </top>
      <bottom style="thin">
        <color rgb="FFD0D8E8"/>
      </bottom>
      <diagonal/>
    </border>
    <border>
      <left style="thin">
        <color rgb="FFD0D8E8"/>
      </left>
      <right style="thin">
        <color rgb="FF8FAADC"/>
      </right>
      <top style="thin">
        <color rgb="FF8FAADC"/>
      </top>
      <bottom style="thin">
        <color rgb="FFD0D8E8"/>
      </bottom>
      <diagonal/>
    </border>
    <border>
      <left style="thin">
        <color rgb="FF8FAADC"/>
      </left>
      <right style="thin">
        <color rgb="FFD0D8E8"/>
      </right>
      <top style="thin">
        <color rgb="FFD0D8E8"/>
      </top>
      <bottom style="thin">
        <color rgb="FFD0D8E8"/>
      </bottom>
      <diagonal/>
    </border>
    <border>
      <left style="thin">
        <color rgb="FFD0D8E8"/>
      </left>
      <right style="thin">
        <color rgb="FFD0D8E8"/>
      </right>
      <top style="thin">
        <color rgb="FFD0D8E8"/>
      </top>
      <bottom style="thin">
        <color rgb="FFD0D8E8"/>
      </bottom>
      <diagonal/>
    </border>
    <border>
      <left style="thin">
        <color rgb="FFD0D8E8"/>
      </left>
      <right style="thin">
        <color rgb="FF8FAADC"/>
      </right>
      <top style="thin">
        <color rgb="FFD0D8E8"/>
      </top>
      <bottom style="thin">
        <color rgb="FFD0D8E8"/>
      </bottom>
      <diagonal/>
    </border>
    <border>
      <left style="thin">
        <color rgb="FF8FAADC"/>
      </left>
      <right style="thin">
        <color rgb="FFD0D8E8"/>
      </right>
      <top style="thin">
        <color rgb="FFD0D8E8"/>
      </top>
      <bottom style="thin">
        <color rgb="FF8FAADC"/>
      </bottom>
      <diagonal/>
    </border>
    <border>
      <left style="thin">
        <color rgb="FFD0D8E8"/>
      </left>
      <right style="thin">
        <color rgb="FFD0D8E8"/>
      </right>
      <top style="thin">
        <color rgb="FFD0D8E8"/>
      </top>
      <bottom style="thin">
        <color rgb="FF8FAADC"/>
      </bottom>
      <diagonal/>
    </border>
    <border>
      <left style="thin">
        <color rgb="FFD0D8E8"/>
      </left>
      <right style="thin">
        <color rgb="FF8FAADC"/>
      </right>
      <top style="thin">
        <color rgb="FFD0D8E8"/>
      </top>
      <bottom style="thin">
        <color rgb="FF8FAADC"/>
      </bottom>
      <diagonal/>
    </border>
    <border>
      <left style="thin">
        <color rgb="FF1B2A4A"/>
      </left>
      <right style="thin">
        <color rgb="FF8FAADC"/>
      </right>
      <top style="thin">
        <color rgb="FF1B2A4A"/>
      </top>
      <bottom style="thin">
        <color rgb="FF8FAADC"/>
      </bottom>
      <diagonal/>
    </border>
    <border>
      <left style="thin">
        <color rgb="FF8FAADC"/>
      </left>
      <right style="thin">
        <color rgb="FF1B2A4A"/>
      </right>
      <top style="thin">
        <color rgb="FF1B2A4A"/>
      </top>
      <bottom style="thin">
        <color rgb="FF8FAADC"/>
      </bottom>
      <diagonal/>
    </border>
    <border>
      <left style="thin">
        <color rgb="FF1B2A4A"/>
      </left>
      <right style="thin">
        <color rgb="FF8FAADC"/>
      </right>
      <top style="thin">
        <color rgb="FF8FAADC"/>
      </top>
      <bottom style="thin">
        <color rgb="FF8FAADC"/>
      </bottom>
      <diagonal/>
    </border>
    <border>
      <left style="thin">
        <color rgb="FF8FAADC"/>
      </left>
      <right style="thin">
        <color rgb="FF1B2A4A"/>
      </right>
      <top style="thin">
        <color rgb="FF8FAADC"/>
      </top>
      <bottom style="thin">
        <color rgb="FF8FAADC"/>
      </bottom>
      <diagonal/>
    </border>
    <border>
      <left/>
      <right style="thin">
        <color rgb="FFFFFFFF"/>
      </right>
      <top style="thin">
        <color rgb="FF8FAADC"/>
      </top>
      <bottom style="thin">
        <color rgb="FFD0D8E8"/>
      </bottom>
      <diagonal/>
    </border>
    <border>
      <left/>
      <right style="thin">
        <color rgb="FFFFFFFF"/>
      </right>
      <top style="thin">
        <color rgb="FFD0D8E8"/>
      </top>
      <bottom style="thin">
        <color rgb="FFD0D8E8"/>
      </bottom>
      <diagonal/>
    </border>
    <border>
      <left/>
      <right style="thin">
        <color rgb="FFFFFFFF"/>
      </right>
      <top style="thin">
        <color rgb="FFD0D8E8"/>
      </top>
      <bottom style="thin">
        <color rgb="FF8FAADC"/>
      </bottom>
      <diagonal/>
    </border>
    <border>
      <left style="thin">
        <color rgb="FFFFFFFF"/>
      </left>
      <right style="thin">
        <color rgb="FFFFFFFF"/>
      </right>
      <top style="thin">
        <color rgb="FF8FAADC"/>
      </top>
      <bottom style="thin">
        <color rgb="FFD0D8E8"/>
      </bottom>
      <diagonal/>
    </border>
    <border>
      <left style="thin">
        <color rgb="FFFFFFFF"/>
      </left>
      <right style="thin">
        <color rgb="FFFFFFFF"/>
      </right>
      <top style="thin">
        <color rgb="FFD0D8E8"/>
      </top>
      <bottom style="thin">
        <color rgb="FFD0D8E8"/>
      </bottom>
      <diagonal/>
    </border>
    <border>
      <left style="thin">
        <color rgb="FFFFFFFF"/>
      </left>
      <right style="thin">
        <color rgb="FFFFFFFF"/>
      </right>
      <top style="thin">
        <color rgb="FFD0D8E8"/>
      </top>
      <bottom style="thin">
        <color rgb="FF8FAADC"/>
      </bottom>
      <diagonal/>
    </border>
    <border>
      <left/>
      <right/>
      <top style="thin">
        <color rgb="FFD0D8E8"/>
      </top>
      <bottom style="thin">
        <color rgb="FF8FAADC"/>
      </bottom>
      <diagonal/>
    </border>
    <border>
      <left/>
      <right/>
      <top style="thin">
        <color rgb="FF8FAADC"/>
      </top>
      <bottom style="thin">
        <color rgb="FF8FAADC"/>
      </bottom>
      <diagonal/>
    </border>
    <border>
      <left style="thin">
        <color rgb="FF8FAADC"/>
      </left>
      <right/>
      <top style="thin">
        <color rgb="FF8FAADC"/>
      </top>
      <bottom style="thin">
        <color rgb="FF8FAADC"/>
      </bottom>
      <diagonal/>
    </border>
    <border>
      <left/>
      <right style="thin">
        <color rgb="FF8FAADC"/>
      </right>
      <top style="thin">
        <color rgb="FF8FAADC"/>
      </top>
      <bottom style="thin">
        <color rgb="FF8FAADC"/>
      </bottom>
      <diagonal/>
    </border>
    <border>
      <left style="thin">
        <color rgb="FFD0D8E8"/>
      </left>
      <right/>
      <top style="thin">
        <color rgb="FF8FAADC"/>
      </top>
      <bottom/>
      <diagonal/>
    </border>
    <border>
      <left style="thin">
        <color rgb="FFD0D8E8"/>
      </left>
      <right/>
      <top style="thin">
        <color rgb="FF8FAADC"/>
      </top>
      <bottom style="thin">
        <color rgb="FF8FAADC"/>
      </bottom>
      <diagonal/>
    </border>
    <border>
      <left style="thin">
        <color rgb="FFD0D8E8"/>
      </left>
      <right/>
      <top style="thin">
        <color rgb="FFD0D8E8"/>
      </top>
      <bottom/>
      <diagonal/>
    </border>
    <border>
      <left style="thin">
        <color rgb="FFD0D8E8"/>
      </left>
      <right style="thin">
        <color rgb="FF8FAADC"/>
      </right>
      <top style="thin">
        <color rgb="FF8FAADC"/>
      </top>
      <bottom/>
      <diagonal/>
    </border>
    <border>
      <left style="thin">
        <color rgb="FFD0D8E8"/>
      </left>
      <right style="thin">
        <color rgb="FF8FAADC"/>
      </right>
      <top style="thin">
        <color rgb="FFD0D8E8"/>
      </top>
      <bottom/>
      <diagonal/>
    </border>
    <border>
      <left style="thin">
        <color rgb="FFD0D8E8"/>
      </left>
      <right/>
      <top style="double">
        <color rgb="FF1B2A4A"/>
      </top>
      <bottom/>
      <diagonal/>
    </border>
    <border>
      <left style="thin">
        <color rgb="FFD0D8E8"/>
      </left>
      <right/>
      <top style="double">
        <color rgb="FF1B2A4A"/>
      </top>
      <bottom style="double">
        <color rgb="FF1B2A4A"/>
      </bottom>
      <diagonal/>
    </border>
    <border>
      <left style="thin">
        <color rgb="FFD0D8E8"/>
      </left>
      <right style="thin">
        <color rgb="FF8FAADC"/>
      </right>
      <top style="double">
        <color rgb="FF1B2A4A"/>
      </top>
      <bottom style="double">
        <color rgb="FF1B2A4A"/>
      </bottom>
      <diagonal/>
    </border>
    <border>
      <left style="thin">
        <color rgb="FF8FAADC"/>
      </left>
      <right/>
      <top style="double">
        <color rgb="FF1B2A4A"/>
      </top>
      <bottom/>
      <diagonal/>
    </border>
    <border>
      <left style="thin">
        <color rgb="FFD0D8E8"/>
      </left>
      <right style="thin">
        <color rgb="FF8FAADC"/>
      </right>
      <top style="double">
        <color rgb="FF1B2A4A"/>
      </top>
      <bottom/>
      <diagonal/>
    </border>
    <border>
      <left/>
      <right/>
      <top/>
      <bottom style="thin">
        <color rgb="FF8FAADC"/>
      </bottom>
      <diagonal/>
    </border>
    <border>
      <left style="thin">
        <color rgb="FFD0D8E8"/>
      </left>
      <right/>
      <top/>
      <bottom/>
      <diagonal/>
    </border>
    <border>
      <left style="thin">
        <color rgb="FFD0D8E8"/>
      </left>
      <right style="thin">
        <color rgb="FF8FAADC"/>
      </right>
      <top/>
      <bottom/>
      <diagonal/>
    </border>
    <border>
      <left style="thin">
        <color rgb="FFD0D8E8"/>
      </left>
      <right/>
      <top/>
      <bottom style="thin">
        <color rgb="FF8FAADC"/>
      </bottom>
      <diagonal/>
    </border>
    <border>
      <left/>
      <right/>
      <top style="thin">
        <color theme="2"/>
      </top>
      <bottom/>
      <diagonal/>
    </border>
    <border>
      <left/>
      <right style="thin">
        <color theme="2"/>
      </right>
      <top/>
      <bottom/>
      <diagonal/>
    </border>
    <border>
      <left/>
      <right style="thin">
        <color rgb="FF1B2A4A"/>
      </right>
      <top/>
      <bottom style="thin">
        <color theme="2"/>
      </bottom>
      <diagonal/>
    </border>
    <border>
      <left style="thin">
        <color rgb="FF8FAADC"/>
      </left>
      <right style="thin">
        <color rgb="FF1B2A4A"/>
      </right>
      <top/>
      <bottom style="thin">
        <color theme="2"/>
      </bottom>
      <diagonal/>
    </border>
    <border>
      <left style="thin">
        <color rgb="FF8FAADC"/>
      </left>
      <right/>
      <top/>
      <bottom style="thin">
        <color theme="2"/>
      </bottom>
      <diagonal/>
    </border>
    <border>
      <left style="thin">
        <color rgb="FFD0D8E8"/>
      </left>
      <right/>
      <top style="thin">
        <color rgb="FFD0D8E8"/>
      </top>
      <bottom style="thin">
        <color rgb="FFD0D8E8"/>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right style="thin">
        <color theme="2"/>
      </right>
      <top style="thin">
        <color theme="2"/>
      </top>
      <bottom/>
      <diagonal/>
    </border>
    <border>
      <left style="thin">
        <color theme="2"/>
      </left>
      <right style="thin">
        <color theme="2"/>
      </right>
      <top/>
      <bottom/>
      <diagonal/>
    </border>
    <border>
      <left style="thin">
        <color theme="2"/>
      </left>
      <right style="thin">
        <color theme="2"/>
      </right>
      <top style="thin">
        <color theme="2"/>
      </top>
      <bottom/>
      <diagonal/>
    </border>
    <border>
      <left style="thin">
        <color rgb="FF1B2A4A"/>
      </left>
      <right style="thin">
        <color rgb="FF8FAADC"/>
      </right>
      <top style="thin">
        <color rgb="FF8FAADC"/>
      </top>
      <bottom/>
      <diagonal/>
    </border>
    <border>
      <left style="thin">
        <color theme="2"/>
      </left>
      <right style="thin">
        <color theme="2"/>
      </right>
      <top style="thin">
        <color rgb="FF1B2A4A"/>
      </top>
      <bottom style="thin">
        <color theme="2"/>
      </bottom>
      <diagonal/>
    </border>
    <border>
      <left style="thin">
        <color theme="2"/>
      </left>
      <right style="thin">
        <color theme="2"/>
      </right>
      <top/>
      <bottom style="thin">
        <color theme="2"/>
      </bottom>
      <diagonal/>
    </border>
    <border>
      <left style="thin">
        <color theme="2"/>
      </left>
      <right/>
      <top/>
      <bottom/>
      <diagonal/>
    </border>
    <border>
      <left style="thin">
        <color rgb="FF8FAADC"/>
      </left>
      <right style="thin">
        <color rgb="FF1B2A4A"/>
      </right>
      <top style="thin">
        <color rgb="FF8FAADC"/>
      </top>
      <bottom/>
      <diagonal/>
    </border>
    <border>
      <left style="thin">
        <color rgb="FF8FAADC"/>
      </left>
      <right style="thin">
        <color theme="2"/>
      </right>
      <top style="thin">
        <color theme="2"/>
      </top>
      <bottom/>
      <diagonal/>
    </border>
    <border>
      <left style="thin">
        <color rgb="FF8FAADC"/>
      </left>
      <right style="thin">
        <color theme="2"/>
      </right>
      <top style="thin">
        <color theme="2"/>
      </top>
      <bottom style="thin">
        <color theme="2"/>
      </bottom>
      <diagonal/>
    </border>
    <border>
      <left/>
      <right style="thin">
        <color theme="2"/>
      </right>
      <top/>
      <bottom style="thin">
        <color theme="2"/>
      </bottom>
      <diagonal/>
    </border>
    <border>
      <left style="thin">
        <color rgb="FF8FAADC"/>
      </left>
      <right/>
      <top style="thin">
        <color theme="2"/>
      </top>
      <bottom/>
      <diagonal/>
    </border>
    <border>
      <left style="thin">
        <color rgb="FFD0D8E8"/>
      </left>
      <right/>
      <top style="thin">
        <color rgb="FFD0D8E8"/>
      </top>
      <bottom style="thin">
        <color rgb="FF8FAADC"/>
      </bottom>
      <diagonal/>
    </border>
    <border>
      <left style="thin">
        <color rgb="FFFFFFFF"/>
      </left>
      <right style="thin">
        <color rgb="FFFFFFFF"/>
      </right>
      <top/>
      <bottom/>
      <diagonal/>
    </border>
    <border>
      <left/>
      <right style="thin">
        <color rgb="FFFFFFFF"/>
      </right>
      <top/>
      <bottom/>
      <diagonal/>
    </border>
    <border>
      <left style="thin">
        <color rgb="FFFFFFFF"/>
      </left>
      <right style="thin">
        <color rgb="FFFFFFFF"/>
      </right>
      <top style="thin">
        <color rgb="FFD0D8E8"/>
      </top>
      <bottom/>
      <diagonal/>
    </border>
    <border>
      <left/>
      <right style="thin">
        <color rgb="FFFFFFFF"/>
      </right>
      <top style="thin">
        <color rgb="FFD0D8E8"/>
      </top>
      <bottom/>
      <diagonal/>
    </border>
    <border>
      <left style="thin">
        <color rgb="FFFFFFFF"/>
      </left>
      <right style="thin">
        <color rgb="FF8FAADC"/>
      </right>
      <top style="thin">
        <color rgb="FFD0D8E8"/>
      </top>
      <bottom/>
      <diagonal/>
    </border>
    <border>
      <left style="thin">
        <color rgb="FFFFFFFF"/>
      </left>
      <right style="thin">
        <color rgb="FF8FAADC"/>
      </right>
      <top style="thin">
        <color rgb="FFD0D8E8"/>
      </top>
      <bottom style="thin">
        <color rgb="FFD0D8E8"/>
      </bottom>
      <diagonal/>
    </border>
    <border>
      <left style="thin">
        <color rgb="FFFFFFFF"/>
      </left>
      <right style="thin">
        <color rgb="FF8FAADC"/>
      </right>
      <top/>
      <bottom/>
      <diagonal/>
    </border>
    <border>
      <left style="thin">
        <color rgb="FFFFFFFF"/>
      </left>
      <right/>
      <top style="thin">
        <color rgb="FFD0D8E8"/>
      </top>
      <bottom/>
      <diagonal/>
    </border>
    <border>
      <left style="thin">
        <color rgb="FFFFFFFF"/>
      </left>
      <right/>
      <top style="thin">
        <color rgb="FFD0D8E8"/>
      </top>
      <bottom style="thin">
        <color rgb="FFD0D8E8"/>
      </bottom>
      <diagonal/>
    </border>
    <border>
      <left style="thin">
        <color rgb="FFFFFFFF"/>
      </left>
      <right/>
      <top/>
      <bottom/>
      <diagonal/>
    </border>
    <border>
      <left style="thin">
        <color rgb="FF8FAADC"/>
      </left>
      <right style="thin">
        <color rgb="FFFFFFFF"/>
      </right>
      <top style="thin">
        <color rgb="FFD0D8E8"/>
      </top>
      <bottom/>
      <diagonal/>
    </border>
    <border>
      <left style="thin">
        <color rgb="FF8FAADC"/>
      </left>
      <right style="thin">
        <color rgb="FFFFFFFF"/>
      </right>
      <top style="thin">
        <color rgb="FFD0D8E8"/>
      </top>
      <bottom style="thin">
        <color rgb="FFD0D8E8"/>
      </bottom>
      <diagonal/>
    </border>
    <border>
      <left style="thin">
        <color rgb="FF8FAADC"/>
      </left>
      <right style="thin">
        <color rgb="FFFFFFFF"/>
      </right>
      <top/>
      <bottom/>
      <diagonal/>
    </border>
    <border>
      <left style="thin">
        <color rgb="FF8FAADC"/>
      </left>
      <right style="thin">
        <color rgb="FFFFFFFF"/>
      </right>
      <top style="thin">
        <color rgb="FF8FAADC"/>
      </top>
      <bottom style="thin">
        <color rgb="FFD0D8E8"/>
      </bottom>
      <diagonal/>
    </border>
    <border>
      <left style="thin">
        <color rgb="FFFFFFFF"/>
      </left>
      <right/>
      <top style="thin">
        <color rgb="FF8FAADC"/>
      </top>
      <bottom style="thin">
        <color rgb="FFD0D8E8"/>
      </bottom>
      <diagonal/>
    </border>
    <border>
      <left style="thin">
        <color rgb="FFFFFFFF"/>
      </left>
      <right style="thin">
        <color rgb="FF8FAADC"/>
      </right>
      <top style="thin">
        <color rgb="FF8FAADC"/>
      </top>
      <bottom style="thin">
        <color rgb="FFD0D8E8"/>
      </bottom>
      <diagonal/>
    </border>
    <border>
      <left style="thin">
        <color rgb="FF8FAADC"/>
      </left>
      <right style="thin">
        <color rgb="FFFFFFFF"/>
      </right>
      <top style="thin">
        <color rgb="FFD0D8E8"/>
      </top>
      <bottom style="thin">
        <color rgb="FF8FAADC"/>
      </bottom>
      <diagonal/>
    </border>
    <border>
      <left style="thin">
        <color rgb="FFFFFFFF"/>
      </left>
      <right/>
      <top style="thin">
        <color rgb="FFD0D8E8"/>
      </top>
      <bottom style="thin">
        <color rgb="FF8FAADC"/>
      </bottom>
      <diagonal/>
    </border>
    <border>
      <left style="thin">
        <color rgb="FFFFFFFF"/>
      </left>
      <right style="thin">
        <color rgb="FF8FAADC"/>
      </right>
      <top style="thin">
        <color rgb="FFD0D8E8"/>
      </top>
      <bottom style="thin">
        <color rgb="FF8FAADC"/>
      </bottom>
      <diagonal/>
    </border>
    <border>
      <left style="thin">
        <color rgb="FF8FAADC"/>
      </left>
      <right style="thin">
        <color rgb="FFD0D8E8"/>
      </right>
      <top/>
      <bottom style="thin">
        <color rgb="FFD0D8E8"/>
      </bottom>
      <diagonal/>
    </border>
    <border>
      <left style="thin">
        <color rgb="FFD0D8E8"/>
      </left>
      <right style="thin">
        <color rgb="FFD0D8E8"/>
      </right>
      <top/>
      <bottom style="thin">
        <color rgb="FFD0D8E8"/>
      </bottom>
      <diagonal/>
    </border>
    <border>
      <left style="thin">
        <color rgb="FFD0D8E8"/>
      </left>
      <right style="thin">
        <color rgb="FF8FAADC"/>
      </right>
      <top/>
      <bottom style="thin">
        <color rgb="FFD0D8E8"/>
      </bottom>
      <diagonal/>
    </border>
    <border>
      <left style="thin">
        <color rgb="FF8FAADC"/>
      </left>
      <right style="thin">
        <color rgb="FFD0D8E8"/>
      </right>
      <top style="thin">
        <color rgb="FF8FAADC"/>
      </top>
      <bottom/>
      <diagonal/>
    </border>
    <border>
      <left style="thin">
        <color rgb="FFD0D8E8"/>
      </left>
      <right style="thin">
        <color rgb="FFD0D8E8"/>
      </right>
      <top style="thin">
        <color rgb="FF8FAADC"/>
      </top>
      <bottom/>
      <diagonal/>
    </border>
    <border>
      <left/>
      <right style="thin">
        <color rgb="FFD0D8E8"/>
      </right>
      <top style="thin">
        <color rgb="FFD0D8E8"/>
      </top>
      <bottom style="thin">
        <color rgb="FFD0D8E8"/>
      </bottom>
      <diagonal/>
    </border>
    <border>
      <left style="thin">
        <color rgb="FFD0D8E8"/>
      </left>
      <right/>
      <top/>
      <bottom style="thin">
        <color rgb="FFD0D8E8"/>
      </bottom>
      <diagonal/>
    </border>
    <border>
      <left/>
      <right style="thin">
        <color rgb="FFD0D8E8"/>
      </right>
      <top/>
      <bottom style="thin">
        <color rgb="FFD0D8E8"/>
      </bottom>
      <diagonal/>
    </border>
    <border>
      <left style="thin">
        <color rgb="FFD0D8E8"/>
      </left>
      <right style="thin">
        <color rgb="FFD0D8E8"/>
      </right>
      <top style="thin">
        <color rgb="FFD0D8E8"/>
      </top>
      <bottom/>
      <diagonal/>
    </border>
    <border>
      <left/>
      <right style="thin">
        <color rgb="FFD0D8E8"/>
      </right>
      <top style="thin">
        <color rgb="FFD0D8E8"/>
      </top>
      <bottom style="thin">
        <color rgb="FF8FAADC"/>
      </bottom>
      <diagonal/>
    </border>
    <border>
      <left style="thin">
        <color rgb="FFD0D8E8"/>
      </left>
      <right style="thin">
        <color rgb="FFD0D8E8"/>
      </right>
      <top/>
      <bottom/>
      <diagonal/>
    </border>
    <border>
      <left style="thin">
        <color rgb="FF8FAADC"/>
      </left>
      <right style="thin">
        <color rgb="FFFFFFFF"/>
      </right>
      <top/>
      <bottom style="thin">
        <color rgb="FFD0D8E8"/>
      </bottom>
      <diagonal/>
    </border>
    <border>
      <left style="thin">
        <color rgb="FFFFFFFF"/>
      </left>
      <right style="thin">
        <color rgb="FFFFFFFF"/>
      </right>
      <top/>
      <bottom style="thin">
        <color rgb="FFD0D8E8"/>
      </bottom>
      <diagonal/>
    </border>
    <border>
      <left style="thin">
        <color rgb="FFFFFFFF"/>
      </left>
      <right style="thin">
        <color rgb="FF8FAADC"/>
      </right>
      <top/>
      <bottom style="thin">
        <color rgb="FFD0D8E8"/>
      </bottom>
      <diagonal/>
    </border>
    <border>
      <left style="thin">
        <color rgb="FF8FAADC"/>
      </left>
      <right style="thin">
        <color rgb="FF8FAADC"/>
      </right>
      <top style="thin">
        <color rgb="FF8FAADC"/>
      </top>
      <bottom/>
      <diagonal/>
    </border>
    <border>
      <left style="thin">
        <color rgb="FF8FAADC"/>
      </left>
      <right style="thin">
        <color rgb="FF8FAADC"/>
      </right>
      <top style="thin">
        <color rgb="FFD0D8E8"/>
      </top>
      <bottom/>
      <diagonal/>
    </border>
    <border>
      <left style="thin">
        <color rgb="FFD0D8E8"/>
      </left>
      <right style="thin">
        <color rgb="FFD0D8E8"/>
      </right>
      <top style="medium">
        <color rgb="FF8FAADC"/>
      </top>
      <bottom style="thin">
        <color rgb="FFD0D8E8"/>
      </bottom>
      <diagonal/>
    </border>
    <border>
      <left style="thin">
        <color rgb="FFD0D8E8"/>
      </left>
      <right style="thin">
        <color rgb="FFD0D8E8"/>
      </right>
      <top style="thin">
        <color rgb="FFD0D8E8"/>
      </top>
      <bottom style="medium">
        <color rgb="FF8FAADC"/>
      </bottom>
      <diagonal/>
    </border>
    <border>
      <left style="medium">
        <color rgb="FF8FAADC"/>
      </left>
      <right style="thin">
        <color rgb="FFD0D8E8"/>
      </right>
      <top style="medium">
        <color rgb="FF8FAADC"/>
      </top>
      <bottom style="thin">
        <color rgb="FFD0D8E8"/>
      </bottom>
      <diagonal/>
    </border>
    <border>
      <left style="medium">
        <color rgb="FF8FAADC"/>
      </left>
      <right style="thin">
        <color rgb="FFD0D8E8"/>
      </right>
      <top style="thin">
        <color rgb="FFD0D8E8"/>
      </top>
      <bottom style="thin">
        <color rgb="FFD0D8E8"/>
      </bottom>
      <diagonal/>
    </border>
    <border>
      <left style="medium">
        <color rgb="FF8FAADC"/>
      </left>
      <right style="thin">
        <color rgb="FFD0D8E8"/>
      </right>
      <top style="thin">
        <color rgb="FFD0D8E8"/>
      </top>
      <bottom style="medium">
        <color rgb="FF8FAADC"/>
      </bottom>
      <diagonal/>
    </border>
    <border>
      <left style="thin">
        <color rgb="FFD0D8E8"/>
      </left>
      <right style="medium">
        <color rgb="FF8FAADC"/>
      </right>
      <top style="medium">
        <color rgb="FF8FAADC"/>
      </top>
      <bottom style="thin">
        <color rgb="FFD0D8E8"/>
      </bottom>
      <diagonal/>
    </border>
    <border>
      <left style="thin">
        <color rgb="FFD0D8E8"/>
      </left>
      <right style="medium">
        <color rgb="FF8FAADC"/>
      </right>
      <top style="thin">
        <color rgb="FFD0D8E8"/>
      </top>
      <bottom style="thin">
        <color rgb="FFD0D8E8"/>
      </bottom>
      <diagonal/>
    </border>
    <border>
      <left style="thin">
        <color rgb="FFD0D8E8"/>
      </left>
      <right style="medium">
        <color rgb="FF8FAADC"/>
      </right>
      <top style="thin">
        <color rgb="FFD0D8E8"/>
      </top>
      <bottom style="medium">
        <color rgb="FF8FAADC"/>
      </bottom>
      <diagonal/>
    </border>
    <border>
      <left/>
      <right/>
      <top style="medium">
        <color rgb="FF8FAADC"/>
      </top>
      <bottom/>
      <diagonal/>
    </border>
    <border>
      <left style="medium">
        <color rgb="FF8FAADC"/>
      </left>
      <right style="medium">
        <color rgb="FF8FAADC"/>
      </right>
      <top style="medium">
        <color rgb="FF8FAADC"/>
      </top>
      <bottom/>
      <diagonal/>
    </border>
    <border>
      <left style="medium">
        <color rgb="FF8FAADC"/>
      </left>
      <right style="medium">
        <color rgb="FF8FAADC"/>
      </right>
      <top/>
      <bottom/>
      <diagonal/>
    </border>
    <border>
      <left style="medium">
        <color rgb="FF8FAADC"/>
      </left>
      <right style="medium">
        <color rgb="FF8FAADC"/>
      </right>
      <top/>
      <bottom style="thin">
        <color rgb="FF8FAADC"/>
      </bottom>
      <diagonal/>
    </border>
    <border>
      <left/>
      <right/>
      <top style="medium">
        <color rgb="FF1B2A4A"/>
      </top>
      <bottom style="medium">
        <color rgb="FF8FAADC"/>
      </bottom>
      <diagonal/>
    </border>
    <border>
      <left style="medium">
        <color rgb="FF8FAADC"/>
      </left>
      <right style="medium">
        <color rgb="FF8FAADC"/>
      </right>
      <top style="medium">
        <color rgb="FF1B2A4A"/>
      </top>
      <bottom style="medium">
        <color rgb="FF8FAADC"/>
      </bottom>
      <diagonal/>
    </border>
    <border>
      <left style="thin">
        <color auto="1"/>
      </left>
      <right style="thin">
        <color rgb="FFD0D8E8"/>
      </right>
      <top style="thin">
        <color auto="1"/>
      </top>
      <bottom style="thin">
        <color rgb="FFD0D8E8"/>
      </bottom>
      <diagonal/>
    </border>
    <border>
      <left style="thin">
        <color rgb="FFD0D8E8"/>
      </left>
      <right style="thin">
        <color rgb="FFD0D8E8"/>
      </right>
      <top style="thin">
        <color auto="1"/>
      </top>
      <bottom style="thin">
        <color rgb="FFD0D8E8"/>
      </bottom>
      <diagonal/>
    </border>
    <border>
      <left style="thin">
        <color rgb="FFD0D8E8"/>
      </left>
      <right style="thin">
        <color auto="1"/>
      </right>
      <top style="thin">
        <color auto="1"/>
      </top>
      <bottom style="thin">
        <color rgb="FFD0D8E8"/>
      </bottom>
      <diagonal/>
    </border>
    <border>
      <left style="thin">
        <color auto="1"/>
      </left>
      <right style="thin">
        <color rgb="FFD0D8E8"/>
      </right>
      <top style="thin">
        <color rgb="FFD0D8E8"/>
      </top>
      <bottom style="thin">
        <color rgb="FFD0D8E8"/>
      </bottom>
      <diagonal/>
    </border>
    <border>
      <left style="thin">
        <color rgb="FFD0D8E8"/>
      </left>
      <right style="thin">
        <color auto="1"/>
      </right>
      <top style="thin">
        <color rgb="FFD0D8E8"/>
      </top>
      <bottom style="thin">
        <color rgb="FFD0D8E8"/>
      </bottom>
      <diagonal/>
    </border>
    <border>
      <left style="thin">
        <color auto="1"/>
      </left>
      <right style="thin">
        <color rgb="FFD0D8E8"/>
      </right>
      <top style="thin">
        <color rgb="FFD0D8E8"/>
      </top>
      <bottom style="thin">
        <color auto="1"/>
      </bottom>
      <diagonal/>
    </border>
    <border>
      <left style="thin">
        <color rgb="FFD0D8E8"/>
      </left>
      <right style="thin">
        <color rgb="FFD0D8E8"/>
      </right>
      <top style="thin">
        <color rgb="FFD0D8E8"/>
      </top>
      <bottom style="thin">
        <color auto="1"/>
      </bottom>
      <diagonal/>
    </border>
    <border>
      <left style="thin">
        <color rgb="FFD0D8E8"/>
      </left>
      <right style="thin">
        <color auto="1"/>
      </right>
      <top style="thin">
        <color rgb="FFD0D8E8"/>
      </top>
      <bottom style="thin">
        <color auto="1"/>
      </bottom>
      <diagonal/>
    </border>
  </borders>
  <cellStyleXfs count="1">
    <xf numFmtId="0" fontId="0" fillId="0" borderId="0"/>
  </cellStyleXfs>
  <cellXfs count="557">
    <xf numFmtId="0" fontId="0" fillId="0" borderId="0" xfId="0"/>
    <xf numFmtId="0" fontId="0" fillId="0" borderId="0" xfId="0" applyAlignment="1">
      <alignment vertical="center"/>
    </xf>
    <xf numFmtId="0" fontId="0" fillId="0" borderId="0" xfId="0" applyAlignment="1">
      <alignment horizontal="center"/>
    </xf>
    <xf numFmtId="44" fontId="0" fillId="0" borderId="0" xfId="0" applyNumberFormat="1"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10" fontId="0" fillId="0" borderId="0" xfId="0" applyNumberFormat="1"/>
    <xf numFmtId="10" fontId="3" fillId="0" borderId="0" xfId="0" applyNumberFormat="1" applyFont="1"/>
    <xf numFmtId="10" fontId="2" fillId="0" borderId="0" xfId="0" applyNumberFormat="1" applyFont="1" applyAlignment="1">
      <alignment horizontal="center" vertical="center"/>
    </xf>
    <xf numFmtId="0" fontId="4" fillId="0" borderId="0" xfId="0" applyFont="1" applyAlignment="1">
      <alignment wrapText="1"/>
    </xf>
    <xf numFmtId="0" fontId="0" fillId="0" borderId="0" xfId="0" applyAlignment="1">
      <alignment horizontal="left" vertical="top" wrapText="1"/>
    </xf>
    <xf numFmtId="0" fontId="6" fillId="2" borderId="0" xfId="0" applyFont="1" applyFill="1"/>
    <xf numFmtId="0" fontId="8" fillId="4" borderId="1" xfId="0" applyFont="1" applyFill="1" applyBorder="1" applyAlignment="1">
      <alignment horizontal="center" vertical="center"/>
    </xf>
    <xf numFmtId="44" fontId="8" fillId="4" borderId="1" xfId="0" applyNumberFormat="1" applyFont="1" applyFill="1" applyBorder="1" applyAlignment="1">
      <alignment horizontal="center" vertical="center"/>
    </xf>
    <xf numFmtId="10" fontId="8" fillId="4" borderId="1" xfId="0" applyNumberFormat="1" applyFont="1" applyFill="1" applyBorder="1" applyAlignment="1">
      <alignment horizontal="center"/>
    </xf>
    <xf numFmtId="0" fontId="8" fillId="4" borderId="2" xfId="0" applyFont="1" applyFill="1" applyBorder="1" applyAlignment="1">
      <alignment horizontal="center" vertical="center"/>
    </xf>
    <xf numFmtId="10" fontId="8" fillId="4" borderId="3" xfId="0" applyNumberFormat="1" applyFont="1" applyFill="1" applyBorder="1" applyAlignment="1">
      <alignment horizontal="center"/>
    </xf>
    <xf numFmtId="0" fontId="5" fillId="5" borderId="6" xfId="0" applyFont="1" applyFill="1" applyBorder="1"/>
    <xf numFmtId="0" fontId="5" fillId="5" borderId="7" xfId="0" applyFont="1" applyFill="1" applyBorder="1"/>
    <xf numFmtId="164" fontId="5" fillId="5" borderId="7" xfId="0" applyNumberFormat="1" applyFont="1" applyFill="1" applyBorder="1" applyAlignment="1">
      <alignment horizontal="center"/>
    </xf>
    <xf numFmtId="10" fontId="5" fillId="5" borderId="7" xfId="0" applyNumberFormat="1" applyFont="1" applyFill="1" applyBorder="1" applyAlignment="1">
      <alignment horizontal="center"/>
    </xf>
    <xf numFmtId="10" fontId="5" fillId="5" borderId="8" xfId="0" applyNumberFormat="1" applyFont="1" applyFill="1" applyBorder="1" applyAlignment="1">
      <alignment horizontal="center"/>
    </xf>
    <xf numFmtId="0" fontId="5" fillId="6" borderId="9" xfId="0" applyFont="1" applyFill="1" applyBorder="1"/>
    <xf numFmtId="0" fontId="5" fillId="6" borderId="10" xfId="0" applyFont="1" applyFill="1" applyBorder="1"/>
    <xf numFmtId="164" fontId="5" fillId="6" borderId="10" xfId="0" applyNumberFormat="1" applyFont="1" applyFill="1" applyBorder="1" applyAlignment="1">
      <alignment horizontal="center"/>
    </xf>
    <xf numFmtId="10" fontId="5" fillId="6" borderId="10" xfId="0" applyNumberFormat="1" applyFont="1" applyFill="1" applyBorder="1" applyAlignment="1">
      <alignment horizontal="center"/>
    </xf>
    <xf numFmtId="10" fontId="5" fillId="6" borderId="11" xfId="0" applyNumberFormat="1" applyFont="1" applyFill="1" applyBorder="1" applyAlignment="1">
      <alignment horizontal="center"/>
    </xf>
    <xf numFmtId="0" fontId="6" fillId="2" borderId="9" xfId="0" applyFont="1" applyFill="1" applyBorder="1"/>
    <xf numFmtId="0" fontId="6" fillId="2" borderId="10" xfId="0" applyFont="1" applyFill="1" applyBorder="1"/>
    <xf numFmtId="164" fontId="6" fillId="2" borderId="10" xfId="0" applyNumberFormat="1" applyFont="1" applyFill="1" applyBorder="1" applyAlignment="1">
      <alignment horizontal="center"/>
    </xf>
    <xf numFmtId="10" fontId="6" fillId="2" borderId="10" xfId="0" applyNumberFormat="1" applyFont="1" applyFill="1" applyBorder="1" applyAlignment="1">
      <alignment horizontal="center"/>
    </xf>
    <xf numFmtId="10" fontId="6" fillId="2" borderId="11" xfId="0" applyNumberFormat="1" applyFont="1" applyFill="1" applyBorder="1" applyAlignment="1">
      <alignment horizontal="center"/>
    </xf>
    <xf numFmtId="0" fontId="6" fillId="2" borderId="9" xfId="0" applyFont="1" applyFill="1" applyBorder="1" applyAlignment="1">
      <alignment wrapText="1"/>
    </xf>
    <xf numFmtId="0" fontId="5" fillId="6" borderId="9" xfId="0" applyFont="1" applyFill="1" applyBorder="1" applyAlignment="1">
      <alignment wrapText="1"/>
    </xf>
    <xf numFmtId="0" fontId="5" fillId="5" borderId="9" xfId="0" applyFont="1" applyFill="1" applyBorder="1"/>
    <xf numFmtId="0" fontId="5" fillId="5" borderId="10" xfId="0" applyFont="1" applyFill="1" applyBorder="1"/>
    <xf numFmtId="164" fontId="5" fillId="5" borderId="10" xfId="0" applyNumberFormat="1" applyFont="1" applyFill="1" applyBorder="1" applyAlignment="1">
      <alignment horizontal="center"/>
    </xf>
    <xf numFmtId="10" fontId="5" fillId="5" borderId="10" xfId="0" applyNumberFormat="1" applyFont="1" applyFill="1" applyBorder="1" applyAlignment="1">
      <alignment horizontal="center"/>
    </xf>
    <xf numFmtId="10" fontId="5" fillId="5" borderId="11" xfId="0" applyNumberFormat="1" applyFont="1" applyFill="1" applyBorder="1" applyAlignment="1">
      <alignment horizontal="center"/>
    </xf>
    <xf numFmtId="164" fontId="5" fillId="6" borderId="10" xfId="0" applyNumberFormat="1" applyFont="1" applyFill="1" applyBorder="1" applyAlignment="1">
      <alignment horizontal="center" indent="6"/>
    </xf>
    <xf numFmtId="164" fontId="5" fillId="6" borderId="10" xfId="0" applyNumberFormat="1" applyFont="1" applyFill="1" applyBorder="1" applyAlignment="1">
      <alignment horizontal="center" indent="7"/>
    </xf>
    <xf numFmtId="0" fontId="6" fillId="2" borderId="14" xfId="0" applyFont="1" applyFill="1" applyBorder="1"/>
    <xf numFmtId="0" fontId="6" fillId="2" borderId="15" xfId="0" applyFont="1" applyFill="1" applyBorder="1"/>
    <xf numFmtId="164" fontId="6" fillId="2" borderId="15" xfId="0" applyNumberFormat="1" applyFont="1" applyFill="1" applyBorder="1" applyAlignment="1">
      <alignment horizontal="center"/>
    </xf>
    <xf numFmtId="10" fontId="6" fillId="2" borderId="15" xfId="0" applyNumberFormat="1" applyFont="1" applyFill="1" applyBorder="1" applyAlignment="1">
      <alignment horizontal="center"/>
    </xf>
    <xf numFmtId="10" fontId="6" fillId="2" borderId="16" xfId="0" applyNumberFormat="1" applyFont="1" applyFill="1" applyBorder="1" applyAlignment="1">
      <alignment horizontal="center"/>
    </xf>
    <xf numFmtId="0" fontId="9" fillId="3" borderId="17" xfId="0" applyFont="1" applyFill="1" applyBorder="1"/>
    <xf numFmtId="0" fontId="9" fillId="3" borderId="18" xfId="0" applyFont="1" applyFill="1" applyBorder="1"/>
    <xf numFmtId="164" fontId="9" fillId="3" borderId="18" xfId="0" applyNumberFormat="1" applyFont="1" applyFill="1" applyBorder="1" applyAlignment="1">
      <alignment horizontal="center"/>
    </xf>
    <xf numFmtId="10" fontId="9" fillId="3" borderId="18" xfId="0" applyNumberFormat="1" applyFont="1" applyFill="1" applyBorder="1" applyAlignment="1">
      <alignment horizontal="center"/>
    </xf>
    <xf numFmtId="10" fontId="9" fillId="3" borderId="19" xfId="0" applyNumberFormat="1" applyFont="1" applyFill="1" applyBorder="1" applyAlignment="1">
      <alignment horizontal="center"/>
    </xf>
    <xf numFmtId="0" fontId="5" fillId="6" borderId="14" xfId="0" applyFont="1" applyFill="1" applyBorder="1"/>
    <xf numFmtId="0" fontId="5" fillId="6" borderId="15" xfId="0" applyFont="1" applyFill="1" applyBorder="1"/>
    <xf numFmtId="164" fontId="5" fillId="6" borderId="15" xfId="0" applyNumberFormat="1" applyFont="1" applyFill="1" applyBorder="1" applyAlignment="1">
      <alignment horizontal="center"/>
    </xf>
    <xf numFmtId="10" fontId="5" fillId="6" borderId="15" xfId="0" applyNumberFormat="1" applyFont="1" applyFill="1" applyBorder="1" applyAlignment="1">
      <alignment horizontal="center"/>
    </xf>
    <xf numFmtId="10" fontId="5" fillId="6" borderId="16" xfId="0" applyNumberFormat="1" applyFont="1" applyFill="1" applyBorder="1" applyAlignment="1">
      <alignment horizontal="center"/>
    </xf>
    <xf numFmtId="0" fontId="8" fillId="4" borderId="0" xfId="0" applyFont="1" applyFill="1" applyAlignment="1">
      <alignment horizontal="center"/>
    </xf>
    <xf numFmtId="0" fontId="8" fillId="4" borderId="4" xfId="0" applyFont="1" applyFill="1" applyBorder="1" applyAlignment="1">
      <alignment horizontal="center"/>
    </xf>
    <xf numFmtId="0" fontId="10" fillId="7" borderId="9" xfId="0" applyFont="1" applyFill="1" applyBorder="1"/>
    <xf numFmtId="0" fontId="10" fillId="7" borderId="10" xfId="0" applyFont="1" applyFill="1" applyBorder="1"/>
    <xf numFmtId="0" fontId="10" fillId="7" borderId="9" xfId="0" applyFont="1" applyFill="1" applyBorder="1" applyAlignment="1">
      <alignment wrapText="1"/>
    </xf>
    <xf numFmtId="0" fontId="5" fillId="6" borderId="14" xfId="0" applyFont="1" applyFill="1" applyBorder="1" applyAlignment="1">
      <alignment wrapText="1"/>
    </xf>
    <xf numFmtId="0" fontId="5" fillId="6" borderId="26" xfId="0" applyFont="1" applyFill="1" applyBorder="1" applyAlignment="1">
      <alignment horizontal="left" vertical="center"/>
    </xf>
    <xf numFmtId="165" fontId="6" fillId="6" borderId="27" xfId="0" applyNumberFormat="1" applyFont="1" applyFill="1" applyBorder="1" applyAlignment="1">
      <alignment horizontal="center" vertical="center"/>
    </xf>
    <xf numFmtId="165" fontId="6" fillId="6" borderId="28" xfId="0" applyNumberFormat="1" applyFont="1" applyFill="1" applyBorder="1" applyAlignment="1">
      <alignment horizontal="center" vertical="center"/>
    </xf>
    <xf numFmtId="0" fontId="5" fillId="2" borderId="26" xfId="0" applyFont="1" applyFill="1" applyBorder="1" applyAlignment="1">
      <alignment horizontal="left" vertical="center"/>
    </xf>
    <xf numFmtId="165" fontId="6" fillId="2" borderId="27" xfId="0" applyNumberFormat="1" applyFont="1" applyFill="1" applyBorder="1" applyAlignment="1">
      <alignment horizontal="center" vertical="center"/>
    </xf>
    <xf numFmtId="165" fontId="6" fillId="2" borderId="28" xfId="0" applyNumberFormat="1" applyFont="1" applyFill="1" applyBorder="1" applyAlignment="1">
      <alignment horizontal="center"/>
    </xf>
    <xf numFmtId="165" fontId="6" fillId="6" borderId="28" xfId="0" applyNumberFormat="1" applyFont="1" applyFill="1" applyBorder="1" applyAlignment="1">
      <alignment horizontal="center"/>
    </xf>
    <xf numFmtId="165" fontId="6" fillId="2" borderId="28" xfId="0" applyNumberFormat="1" applyFont="1" applyFill="1" applyBorder="1" applyAlignment="1">
      <alignment horizontal="center" vertical="center"/>
    </xf>
    <xf numFmtId="0" fontId="5" fillId="2" borderId="26" xfId="0" applyFont="1" applyFill="1" applyBorder="1" applyAlignment="1">
      <alignment horizontal="left" vertical="center" wrapText="1"/>
    </xf>
    <xf numFmtId="0" fontId="5" fillId="6" borderId="26" xfId="0" applyFont="1" applyFill="1" applyBorder="1" applyAlignment="1">
      <alignment horizontal="left" vertical="center" wrapText="1"/>
    </xf>
    <xf numFmtId="166" fontId="6" fillId="2" borderId="27" xfId="0" applyNumberFormat="1" applyFont="1" applyFill="1" applyBorder="1" applyAlignment="1">
      <alignment horizontal="center" vertical="center"/>
    </xf>
    <xf numFmtId="0" fontId="6" fillId="2" borderId="27" xfId="0" applyFont="1" applyFill="1" applyBorder="1" applyAlignment="1">
      <alignment horizontal="center" vertical="center"/>
    </xf>
    <xf numFmtId="0" fontId="5" fillId="6" borderId="29" xfId="0" applyFont="1" applyFill="1" applyBorder="1" applyAlignment="1">
      <alignment horizontal="left" vertical="center"/>
    </xf>
    <xf numFmtId="166" fontId="6" fillId="6" borderId="30" xfId="0" applyNumberFormat="1" applyFont="1" applyFill="1" applyBorder="1" applyAlignment="1">
      <alignment horizontal="center" vertical="center"/>
    </xf>
    <xf numFmtId="0" fontId="6" fillId="6" borderId="30" xfId="0" applyFont="1" applyFill="1" applyBorder="1" applyAlignment="1">
      <alignment horizontal="center" vertical="center"/>
    </xf>
    <xf numFmtId="0" fontId="9" fillId="3" borderId="32" xfId="0" applyFont="1" applyFill="1" applyBorder="1" applyAlignment="1">
      <alignment horizontal="center" vertical="center"/>
    </xf>
    <xf numFmtId="0" fontId="8" fillId="3" borderId="33" xfId="0" applyFont="1" applyFill="1" applyBorder="1" applyAlignment="1">
      <alignment horizontal="center"/>
    </xf>
    <xf numFmtId="0" fontId="5" fillId="6" borderId="34" xfId="0" applyFont="1" applyFill="1" applyBorder="1" applyAlignment="1">
      <alignment horizontal="center"/>
    </xf>
    <xf numFmtId="165" fontId="6" fillId="6" borderId="30" xfId="0" applyNumberFormat="1" applyFont="1" applyFill="1" applyBorder="1" applyAlignment="1">
      <alignment horizontal="center" vertical="center"/>
    </xf>
    <xf numFmtId="0" fontId="14" fillId="6" borderId="27" xfId="0" applyFont="1" applyFill="1" applyBorder="1" applyAlignment="1">
      <alignment horizontal="center" vertical="center"/>
    </xf>
    <xf numFmtId="0" fontId="14" fillId="2" borderId="27" xfId="0" applyFont="1" applyFill="1" applyBorder="1" applyAlignment="1">
      <alignment horizontal="center" vertical="center"/>
    </xf>
    <xf numFmtId="0" fontId="14" fillId="6" borderId="30" xfId="0" applyFont="1" applyFill="1" applyBorder="1" applyAlignment="1">
      <alignment horizontal="center" vertical="center"/>
    </xf>
    <xf numFmtId="0" fontId="13" fillId="8" borderId="28" xfId="0" applyFont="1" applyFill="1" applyBorder="1" applyAlignment="1">
      <alignment vertical="top" wrapText="1"/>
    </xf>
    <xf numFmtId="0" fontId="0" fillId="2" borderId="0" xfId="0" applyFill="1"/>
    <xf numFmtId="0" fontId="8" fillId="4" borderId="46" xfId="0" applyFont="1" applyFill="1" applyBorder="1" applyAlignment="1">
      <alignment horizontal="center"/>
    </xf>
    <xf numFmtId="0" fontId="8" fillId="4" borderId="2" xfId="0" applyFont="1" applyFill="1" applyBorder="1" applyAlignment="1">
      <alignment horizontal="center"/>
    </xf>
    <xf numFmtId="164" fontId="16" fillId="6" borderId="48" xfId="0" applyNumberFormat="1" applyFont="1" applyFill="1" applyBorder="1" applyAlignment="1">
      <alignment horizontal="center"/>
    </xf>
    <xf numFmtId="164" fontId="6" fillId="6" borderId="48" xfId="0" applyNumberFormat="1" applyFont="1" applyFill="1" applyBorder="1" applyAlignment="1">
      <alignment horizontal="center"/>
    </xf>
    <xf numFmtId="10" fontId="6" fillId="6" borderId="48" xfId="0" applyNumberFormat="1" applyFont="1" applyFill="1" applyBorder="1" applyAlignment="1">
      <alignment horizontal="center"/>
    </xf>
    <xf numFmtId="0" fontId="8" fillId="4" borderId="49" xfId="0" applyFont="1" applyFill="1" applyBorder="1" applyAlignment="1">
      <alignment horizontal="center"/>
    </xf>
    <xf numFmtId="0" fontId="5" fillId="6" borderId="14" xfId="0" applyFont="1" applyFill="1" applyBorder="1" applyAlignment="1">
      <alignment horizontal="left"/>
    </xf>
    <xf numFmtId="164" fontId="16" fillId="2" borderId="48" xfId="0" applyNumberFormat="1" applyFont="1" applyFill="1" applyBorder="1" applyAlignment="1">
      <alignment horizontal="center"/>
    </xf>
    <xf numFmtId="164" fontId="6" fillId="2" borderId="48" xfId="0" applyNumberFormat="1" applyFont="1" applyFill="1" applyBorder="1" applyAlignment="1">
      <alignment horizontal="center"/>
    </xf>
    <xf numFmtId="10" fontId="6" fillId="2" borderId="48" xfId="0" applyNumberFormat="1" applyFont="1" applyFill="1" applyBorder="1" applyAlignment="1">
      <alignment horizontal="center"/>
    </xf>
    <xf numFmtId="0" fontId="17" fillId="6" borderId="50" xfId="0" applyFont="1" applyFill="1" applyBorder="1" applyAlignment="1">
      <alignment horizontal="center"/>
    </xf>
    <xf numFmtId="0" fontId="5" fillId="2" borderId="14" xfId="0" applyFont="1" applyFill="1" applyBorder="1" applyAlignment="1">
      <alignment horizontal="left"/>
    </xf>
    <xf numFmtId="0" fontId="9" fillId="3" borderId="17" xfId="0" applyFont="1" applyFill="1" applyBorder="1" applyAlignment="1">
      <alignment horizontal="left"/>
    </xf>
    <xf numFmtId="164" fontId="9" fillId="3" borderId="0" xfId="0" applyNumberFormat="1" applyFont="1" applyFill="1" applyAlignment="1">
      <alignment horizontal="center"/>
    </xf>
    <xf numFmtId="164" fontId="9" fillId="3" borderId="51" xfId="0" applyNumberFormat="1" applyFont="1" applyFill="1" applyBorder="1" applyAlignment="1">
      <alignment horizontal="center"/>
    </xf>
    <xf numFmtId="164" fontId="9" fillId="3" borderId="52" xfId="0" applyNumberFormat="1" applyFont="1" applyFill="1" applyBorder="1" applyAlignment="1">
      <alignment horizontal="center"/>
    </xf>
    <xf numFmtId="10" fontId="9" fillId="3" borderId="51" xfId="0" applyNumberFormat="1" applyFont="1" applyFill="1" applyBorder="1" applyAlignment="1">
      <alignment horizontal="center"/>
    </xf>
    <xf numFmtId="10" fontId="9" fillId="3" borderId="52" xfId="0" applyNumberFormat="1" applyFont="1" applyFill="1" applyBorder="1" applyAlignment="1">
      <alignment horizontal="center"/>
    </xf>
    <xf numFmtId="0" fontId="9" fillId="3" borderId="53" xfId="0" applyFont="1" applyFill="1" applyBorder="1" applyAlignment="1">
      <alignment horizontal="center"/>
    </xf>
    <xf numFmtId="0" fontId="9" fillId="3" borderId="54" xfId="0" applyFont="1" applyFill="1" applyBorder="1" applyAlignment="1">
      <alignment horizontal="left"/>
    </xf>
    <xf numFmtId="0" fontId="9" fillId="3" borderId="55" xfId="0" applyFont="1" applyFill="1" applyBorder="1" applyAlignment="1">
      <alignment horizontal="center"/>
    </xf>
    <xf numFmtId="10" fontId="18" fillId="6" borderId="48" xfId="0" applyNumberFormat="1" applyFont="1" applyFill="1" applyBorder="1" applyAlignment="1">
      <alignment horizontal="center"/>
    </xf>
    <xf numFmtId="168" fontId="18" fillId="6" borderId="48" xfId="0" applyNumberFormat="1" applyFont="1" applyFill="1" applyBorder="1" applyAlignment="1">
      <alignment horizontal="center"/>
    </xf>
    <xf numFmtId="10" fontId="18" fillId="2" borderId="48" xfId="0" applyNumberFormat="1" applyFont="1" applyFill="1" applyBorder="1" applyAlignment="1">
      <alignment horizontal="center"/>
    </xf>
    <xf numFmtId="168" fontId="18" fillId="2" borderId="48" xfId="0" applyNumberFormat="1" applyFont="1" applyFill="1" applyBorder="1" applyAlignment="1">
      <alignment horizontal="center"/>
    </xf>
    <xf numFmtId="0" fontId="5" fillId="2" borderId="14" xfId="0" applyFont="1" applyFill="1" applyBorder="1"/>
    <xf numFmtId="0" fontId="5" fillId="5" borderId="44" xfId="0" applyFont="1" applyFill="1" applyBorder="1"/>
    <xf numFmtId="10" fontId="19" fillId="5" borderId="46" xfId="0" applyNumberFormat="1" applyFont="1" applyFill="1" applyBorder="1" applyAlignment="1">
      <alignment horizontal="center"/>
    </xf>
    <xf numFmtId="10" fontId="19" fillId="5" borderId="47" xfId="0" applyNumberFormat="1" applyFont="1" applyFill="1" applyBorder="1" applyAlignment="1">
      <alignment horizontal="center"/>
    </xf>
    <xf numFmtId="0" fontId="0" fillId="5" borderId="46" xfId="0" applyFill="1" applyBorder="1"/>
    <xf numFmtId="0" fontId="0" fillId="5" borderId="47" xfId="0" applyFill="1" applyBorder="1"/>
    <xf numFmtId="0" fontId="5" fillId="5" borderId="2" xfId="0" applyFont="1" applyFill="1" applyBorder="1"/>
    <xf numFmtId="164" fontId="18" fillId="6" borderId="0" xfId="0" applyNumberFormat="1" applyFont="1" applyFill="1" applyAlignment="1">
      <alignment horizontal="center"/>
    </xf>
    <xf numFmtId="0" fontId="19" fillId="6" borderId="14" xfId="0" applyFont="1" applyFill="1" applyBorder="1"/>
    <xf numFmtId="164" fontId="20" fillId="2" borderId="0" xfId="0" applyNumberFormat="1" applyFont="1" applyFill="1" applyAlignment="1">
      <alignment horizontal="center"/>
    </xf>
    <xf numFmtId="0" fontId="19" fillId="2" borderId="14" xfId="0" applyFont="1" applyFill="1" applyBorder="1"/>
    <xf numFmtId="0" fontId="9" fillId="3" borderId="54" xfId="0" quotePrefix="1" applyFont="1" applyFill="1" applyBorder="1"/>
    <xf numFmtId="10" fontId="11" fillId="8" borderId="0" xfId="0" applyNumberFormat="1" applyFont="1" applyFill="1" applyAlignment="1">
      <alignment horizontal="center"/>
    </xf>
    <xf numFmtId="0" fontId="19" fillId="8" borderId="14" xfId="0" applyFont="1" applyFill="1" applyBorder="1"/>
    <xf numFmtId="0" fontId="19" fillId="8" borderId="12" xfId="0" applyFont="1" applyFill="1" applyBorder="1"/>
    <xf numFmtId="10" fontId="11" fillId="8" borderId="56" xfId="0" applyNumberFormat="1" applyFont="1" applyFill="1" applyBorder="1" applyAlignment="1">
      <alignment horizontal="center"/>
    </xf>
    <xf numFmtId="0" fontId="0" fillId="8" borderId="56" xfId="0" applyFill="1" applyBorder="1"/>
    <xf numFmtId="0" fontId="10" fillId="9" borderId="14" xfId="0" applyFont="1" applyFill="1" applyBorder="1" applyAlignment="1">
      <alignment vertical="top" wrapText="1"/>
    </xf>
    <xf numFmtId="0" fontId="10" fillId="10" borderId="14" xfId="0" applyFont="1" applyFill="1" applyBorder="1" applyAlignment="1">
      <alignment vertical="top" wrapText="1"/>
    </xf>
    <xf numFmtId="0" fontId="11" fillId="8" borderId="12" xfId="0" applyFont="1" applyFill="1" applyBorder="1" applyAlignment="1">
      <alignment vertical="top" wrapText="1"/>
    </xf>
    <xf numFmtId="0" fontId="15" fillId="0" borderId="0" xfId="0" applyFont="1"/>
    <xf numFmtId="164" fontId="18" fillId="6" borderId="1" xfId="0" applyNumberFormat="1" applyFont="1" applyFill="1" applyBorder="1" applyAlignment="1">
      <alignment horizontal="center"/>
    </xf>
    <xf numFmtId="0" fontId="0" fillId="8" borderId="0" xfId="0" applyFill="1"/>
    <xf numFmtId="0" fontId="8" fillId="4" borderId="58" xfId="0" applyFont="1" applyFill="1" applyBorder="1" applyAlignment="1">
      <alignment horizontal="center"/>
    </xf>
    <xf numFmtId="1" fontId="8" fillId="4" borderId="59" xfId="0" applyNumberFormat="1" applyFont="1" applyFill="1" applyBorder="1" applyAlignment="1">
      <alignment horizontal="center"/>
    </xf>
    <xf numFmtId="0" fontId="9" fillId="0" borderId="0" xfId="0" applyFont="1"/>
    <xf numFmtId="0" fontId="9" fillId="0" borderId="0" xfId="0" applyFont="1" applyAlignment="1">
      <alignment horizontal="center"/>
    </xf>
    <xf numFmtId="0" fontId="22" fillId="0" borderId="0" xfId="0" applyFont="1"/>
    <xf numFmtId="164" fontId="22" fillId="0" borderId="0" xfId="0" applyNumberFormat="1" applyFont="1"/>
    <xf numFmtId="44" fontId="8" fillId="4" borderId="0" xfId="0" applyNumberFormat="1" applyFont="1" applyFill="1" applyAlignment="1">
      <alignment horizontal="center" vertical="center"/>
    </xf>
    <xf numFmtId="164" fontId="5" fillId="6" borderId="10" xfId="0" applyNumberFormat="1" applyFont="1" applyFill="1" applyBorder="1" applyAlignment="1">
      <alignment horizontal="center" vertical="center"/>
    </xf>
    <xf numFmtId="164" fontId="6" fillId="2" borderId="10" xfId="0" applyNumberFormat="1" applyFont="1" applyFill="1" applyBorder="1" applyAlignment="1">
      <alignment horizontal="center" vertical="center"/>
    </xf>
    <xf numFmtId="164" fontId="10" fillId="7" borderId="10" xfId="0" applyNumberFormat="1" applyFont="1" applyFill="1" applyBorder="1" applyAlignment="1">
      <alignment horizontal="center" vertical="center"/>
    </xf>
    <xf numFmtId="164" fontId="5" fillId="6" borderId="15" xfId="0" applyNumberFormat="1" applyFont="1" applyFill="1" applyBorder="1" applyAlignment="1">
      <alignment horizontal="center" vertical="center"/>
    </xf>
    <xf numFmtId="164" fontId="9" fillId="3" borderId="18" xfId="0" applyNumberFormat="1" applyFont="1" applyFill="1" applyBorder="1" applyAlignment="1">
      <alignment horizontal="center" vertical="center"/>
    </xf>
    <xf numFmtId="44" fontId="0" fillId="0" borderId="0" xfId="0" applyNumberFormat="1" applyAlignment="1">
      <alignment horizontal="left" vertical="center"/>
    </xf>
    <xf numFmtId="44" fontId="0" fillId="0" borderId="0" xfId="0" applyNumberFormat="1" applyAlignment="1">
      <alignment horizontal="center" vertical="center"/>
    </xf>
    <xf numFmtId="44" fontId="8" fillId="4" borderId="5" xfId="0" applyNumberFormat="1" applyFont="1" applyFill="1" applyBorder="1" applyAlignment="1">
      <alignment horizontal="center" vertical="center"/>
    </xf>
    <xf numFmtId="164" fontId="5" fillId="6" borderId="11" xfId="0" applyNumberFormat="1" applyFont="1" applyFill="1" applyBorder="1" applyAlignment="1">
      <alignment horizontal="center" vertical="center"/>
    </xf>
    <xf numFmtId="164" fontId="6" fillId="2" borderId="11" xfId="0" applyNumberFormat="1" applyFont="1" applyFill="1" applyBorder="1" applyAlignment="1">
      <alignment horizontal="center" vertical="center"/>
    </xf>
    <xf numFmtId="164" fontId="10" fillId="7" borderId="11" xfId="0" applyNumberFormat="1" applyFont="1" applyFill="1" applyBorder="1" applyAlignment="1">
      <alignment horizontal="center" vertical="center"/>
    </xf>
    <xf numFmtId="164" fontId="5" fillId="6" borderId="16" xfId="0" applyNumberFormat="1" applyFont="1" applyFill="1" applyBorder="1" applyAlignment="1">
      <alignment horizontal="center" vertical="center"/>
    </xf>
    <xf numFmtId="164" fontId="9" fillId="3" borderId="19" xfId="0" applyNumberFormat="1" applyFont="1" applyFill="1" applyBorder="1" applyAlignment="1">
      <alignment horizontal="center" vertical="center"/>
    </xf>
    <xf numFmtId="0" fontId="7" fillId="3" borderId="24" xfId="0" applyFont="1" applyFill="1" applyBorder="1" applyAlignment="1">
      <alignment horizontal="center" vertical="center"/>
    </xf>
    <xf numFmtId="0" fontId="23" fillId="3" borderId="23" xfId="0" applyFont="1" applyFill="1" applyBorder="1" applyAlignment="1">
      <alignment horizontal="center" vertical="center"/>
    </xf>
    <xf numFmtId="0" fontId="8" fillId="3" borderId="24" xfId="0" applyFont="1" applyFill="1" applyBorder="1" applyAlignment="1">
      <alignment horizontal="center" vertical="center" wrapText="1"/>
    </xf>
    <xf numFmtId="0" fontId="8" fillId="3" borderId="25" xfId="0" applyFont="1" applyFill="1" applyBorder="1" applyAlignment="1">
      <alignment horizontal="center" vertical="center" wrapText="1"/>
    </xf>
    <xf numFmtId="167" fontId="19" fillId="8" borderId="35" xfId="0" applyNumberFormat="1" applyFont="1" applyFill="1" applyBorder="1" applyAlignment="1">
      <alignment horizontal="center" indent="20"/>
    </xf>
    <xf numFmtId="0" fontId="6" fillId="2" borderId="60" xfId="0" applyFont="1" applyFill="1" applyBorder="1"/>
    <xf numFmtId="0" fontId="6" fillId="2" borderId="61" xfId="0" applyFont="1" applyFill="1" applyBorder="1"/>
    <xf numFmtId="0" fontId="0" fillId="0" borderId="61" xfId="0" applyBorder="1"/>
    <xf numFmtId="0" fontId="6" fillId="2" borderId="62" xfId="0" applyFont="1" applyFill="1" applyBorder="1"/>
    <xf numFmtId="0" fontId="6" fillId="2" borderId="63" xfId="0" applyFont="1" applyFill="1" applyBorder="1"/>
    <xf numFmtId="0" fontId="6" fillId="2" borderId="64" xfId="0" applyFont="1" applyFill="1" applyBorder="1"/>
    <xf numFmtId="165" fontId="6" fillId="2" borderId="65" xfId="0" applyNumberFormat="1" applyFont="1" applyFill="1" applyBorder="1" applyAlignment="1">
      <alignment horizontal="center"/>
    </xf>
    <xf numFmtId="0" fontId="6" fillId="2" borderId="66" xfId="0" applyFont="1" applyFill="1" applyBorder="1"/>
    <xf numFmtId="0" fontId="6" fillId="2" borderId="67" xfId="0" applyFont="1" applyFill="1" applyBorder="1"/>
    <xf numFmtId="0" fontId="6" fillId="2" borderId="4" xfId="0" applyFont="1" applyFill="1" applyBorder="1"/>
    <xf numFmtId="0" fontId="6" fillId="2" borderId="68" xfId="0" applyFont="1" applyFill="1" applyBorder="1"/>
    <xf numFmtId="0" fontId="6" fillId="2" borderId="70" xfId="0" applyFont="1" applyFill="1" applyBorder="1"/>
    <xf numFmtId="0" fontId="6" fillId="2" borderId="71" xfId="0" applyFont="1" applyFill="1" applyBorder="1"/>
    <xf numFmtId="0" fontId="6" fillId="2" borderId="72" xfId="0" applyFont="1" applyFill="1" applyBorder="1"/>
    <xf numFmtId="0" fontId="5" fillId="6" borderId="73" xfId="0" applyFont="1" applyFill="1" applyBorder="1" applyAlignment="1">
      <alignment horizontal="center"/>
    </xf>
    <xf numFmtId="0" fontId="6" fillId="2" borderId="74" xfId="0" applyFont="1" applyFill="1" applyBorder="1"/>
    <xf numFmtId="0" fontId="6" fillId="2" borderId="75" xfId="0" applyFont="1" applyFill="1" applyBorder="1"/>
    <xf numFmtId="0" fontId="6" fillId="2" borderId="76" xfId="0" applyFont="1" applyFill="1" applyBorder="1"/>
    <xf numFmtId="167" fontId="11" fillId="8" borderId="77" xfId="0" applyNumberFormat="1" applyFont="1" applyFill="1" applyBorder="1" applyAlignment="1">
      <alignment horizontal="center" indent="20"/>
    </xf>
    <xf numFmtId="0" fontId="0" fillId="0" borderId="70" xfId="0" applyBorder="1"/>
    <xf numFmtId="0" fontId="6" fillId="2" borderId="78" xfId="0" applyFont="1" applyFill="1" applyBorder="1"/>
    <xf numFmtId="0" fontId="6" fillId="2" borderId="79" xfId="0" applyFont="1" applyFill="1" applyBorder="1"/>
    <xf numFmtId="165" fontId="6" fillId="6" borderId="65" xfId="0" applyNumberFormat="1" applyFont="1" applyFill="1" applyBorder="1" applyAlignment="1">
      <alignment horizontal="center"/>
    </xf>
    <xf numFmtId="165" fontId="6" fillId="2" borderId="65" xfId="0" applyNumberFormat="1" applyFont="1" applyFill="1" applyBorder="1" applyAlignment="1">
      <alignment horizontal="center" vertical="center"/>
    </xf>
    <xf numFmtId="165" fontId="6" fillId="6" borderId="65" xfId="0" applyNumberFormat="1" applyFont="1" applyFill="1" applyBorder="1" applyAlignment="1">
      <alignment horizontal="center" vertical="center"/>
    </xf>
    <xf numFmtId="0" fontId="6" fillId="2" borderId="80" xfId="0" applyFont="1" applyFill="1" applyBorder="1"/>
    <xf numFmtId="0" fontId="6" fillId="2" borderId="65" xfId="0" applyFont="1" applyFill="1" applyBorder="1" applyAlignment="1">
      <alignment horizontal="center"/>
    </xf>
    <xf numFmtId="0" fontId="0" fillId="0" borderId="81" xfId="0" applyBorder="1"/>
    <xf numFmtId="0" fontId="6" fillId="6" borderId="82" xfId="0" applyFont="1" applyFill="1" applyBorder="1" applyAlignment="1">
      <alignment horizontal="center"/>
    </xf>
    <xf numFmtId="0" fontId="25" fillId="12" borderId="0" xfId="0" applyFont="1" applyFill="1" applyAlignment="1">
      <alignment horizontal="left" vertical="top" wrapText="1"/>
    </xf>
    <xf numFmtId="0" fontId="13" fillId="12" borderId="27" xfId="0" applyFont="1" applyFill="1" applyBorder="1" applyAlignment="1">
      <alignment horizontal="left" vertical="top" wrapText="1"/>
    </xf>
    <xf numFmtId="0" fontId="5" fillId="6" borderId="102" xfId="0" applyFont="1" applyFill="1" applyBorder="1" applyAlignment="1">
      <alignment horizontal="left" vertical="center"/>
    </xf>
    <xf numFmtId="165" fontId="6" fillId="6" borderId="103" xfId="0" applyNumberFormat="1" applyFont="1" applyFill="1" applyBorder="1" applyAlignment="1">
      <alignment horizontal="center" vertical="center"/>
    </xf>
    <xf numFmtId="0" fontId="14" fillId="6" borderId="103" xfId="0" applyFont="1" applyFill="1" applyBorder="1" applyAlignment="1">
      <alignment horizontal="center" vertical="center"/>
    </xf>
    <xf numFmtId="0" fontId="13" fillId="12" borderId="103" xfId="0" applyFont="1" applyFill="1" applyBorder="1" applyAlignment="1">
      <alignment horizontal="left" vertical="top" wrapText="1"/>
    </xf>
    <xf numFmtId="0" fontId="13" fillId="8" borderId="104" xfId="0" applyFont="1" applyFill="1" applyBorder="1" applyAlignment="1">
      <alignment vertical="top" wrapText="1"/>
    </xf>
    <xf numFmtId="0" fontId="26" fillId="15" borderId="0" xfId="0" applyFont="1" applyFill="1" applyAlignment="1">
      <alignment horizontal="center"/>
    </xf>
    <xf numFmtId="0" fontId="0" fillId="15" borderId="0" xfId="0" applyFill="1"/>
    <xf numFmtId="0" fontId="0" fillId="16" borderId="0" xfId="0" applyFill="1"/>
    <xf numFmtId="0" fontId="0" fillId="2" borderId="127" xfId="0" applyFill="1" applyBorder="1"/>
    <xf numFmtId="0" fontId="0" fillId="2" borderId="128" xfId="0" applyFill="1" applyBorder="1"/>
    <xf numFmtId="0" fontId="0" fillId="16" borderId="56" xfId="0" applyFill="1" applyBorder="1"/>
    <xf numFmtId="0" fontId="0" fillId="2" borderId="129" xfId="0" applyFill="1" applyBorder="1"/>
    <xf numFmtId="0" fontId="0" fillId="17" borderId="56" xfId="0" applyFill="1" applyBorder="1"/>
    <xf numFmtId="0" fontId="0" fillId="2" borderId="131" xfId="0" applyFill="1" applyBorder="1"/>
    <xf numFmtId="0" fontId="9" fillId="4" borderId="116" xfId="0" applyFont="1" applyFill="1" applyBorder="1" applyAlignment="1">
      <alignment horizontal="center" vertical="center"/>
    </xf>
    <xf numFmtId="0" fontId="6" fillId="6" borderId="116" xfId="0" applyFont="1" applyFill="1" applyBorder="1" applyAlignment="1">
      <alignment horizontal="center"/>
    </xf>
    <xf numFmtId="0" fontId="6" fillId="2" borderId="117" xfId="0" applyFont="1" applyFill="1" applyBorder="1" applyAlignment="1">
      <alignment horizontal="center"/>
    </xf>
    <xf numFmtId="0" fontId="6" fillId="2" borderId="69" xfId="0" applyFont="1" applyFill="1" applyBorder="1"/>
    <xf numFmtId="0" fontId="8" fillId="3" borderId="26"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28" xfId="0" applyFont="1" applyFill="1" applyBorder="1" applyAlignment="1">
      <alignment horizontal="center" vertical="center"/>
    </xf>
    <xf numFmtId="0" fontId="8" fillId="3" borderId="65" xfId="0" applyFont="1" applyFill="1" applyBorder="1" applyAlignment="1">
      <alignment horizontal="center" vertical="center"/>
    </xf>
    <xf numFmtId="0" fontId="8" fillId="3" borderId="112" xfId="0" applyFont="1" applyFill="1" applyBorder="1" applyAlignment="1">
      <alignment horizontal="center" vertical="center"/>
    </xf>
    <xf numFmtId="0" fontId="8" fillId="3" borderId="107" xfId="0" applyFont="1" applyFill="1" applyBorder="1" applyAlignment="1">
      <alignment horizontal="center" vertical="center"/>
    </xf>
    <xf numFmtId="165" fontId="6" fillId="6" borderId="108" xfId="0" applyNumberFormat="1" applyFont="1" applyFill="1" applyBorder="1" applyAlignment="1">
      <alignment horizontal="center" vertical="center"/>
    </xf>
    <xf numFmtId="165" fontId="14" fillId="6" borderId="27" xfId="0" applyNumberFormat="1" applyFont="1" applyFill="1" applyBorder="1" applyAlignment="1">
      <alignment horizontal="center" vertical="center"/>
    </xf>
    <xf numFmtId="0" fontId="13" fillId="8" borderId="109" xfId="0" applyFont="1" applyFill="1" applyBorder="1" applyAlignment="1">
      <alignment horizontal="left" wrapText="1"/>
    </xf>
    <xf numFmtId="0" fontId="13" fillId="8" borderId="104" xfId="0" applyFont="1" applyFill="1" applyBorder="1" applyAlignment="1">
      <alignment horizontal="left" wrapText="1"/>
    </xf>
    <xf numFmtId="165" fontId="14" fillId="2" borderId="103" xfId="0" applyNumberFormat="1" applyFont="1" applyFill="1" applyBorder="1" applyAlignment="1">
      <alignment horizontal="center" vertical="center"/>
    </xf>
    <xf numFmtId="0" fontId="13" fillId="8" borderId="107" xfId="0" applyFont="1" applyFill="1" applyBorder="1" applyAlignment="1">
      <alignment horizontal="left" wrapText="1"/>
    </xf>
    <xf numFmtId="0" fontId="13" fillId="8" borderId="28" xfId="0" applyFont="1" applyFill="1" applyBorder="1" applyAlignment="1">
      <alignment horizontal="left" wrapText="1"/>
    </xf>
    <xf numFmtId="165" fontId="14" fillId="2" borderId="110" xfId="0" applyNumberFormat="1" applyFont="1" applyFill="1" applyBorder="1" applyAlignment="1">
      <alignment horizontal="center" vertical="center"/>
    </xf>
    <xf numFmtId="165" fontId="6" fillId="6" borderId="82" xfId="0" applyNumberFormat="1" applyFont="1" applyFill="1" applyBorder="1" applyAlignment="1">
      <alignment horizontal="center" vertical="center"/>
    </xf>
    <xf numFmtId="165" fontId="14" fillId="6" borderId="30" xfId="0" applyNumberFormat="1" applyFont="1" applyFill="1" applyBorder="1" applyAlignment="1">
      <alignment horizontal="center" vertical="center"/>
    </xf>
    <xf numFmtId="0" fontId="13" fillId="8" borderId="111" xfId="0" applyFont="1" applyFill="1" applyBorder="1" applyAlignment="1">
      <alignment horizontal="left" wrapText="1"/>
    </xf>
    <xf numFmtId="0" fontId="13" fillId="8" borderId="31" xfId="0" applyFont="1" applyFill="1" applyBorder="1" applyAlignment="1">
      <alignment horizontal="left" wrapText="1"/>
    </xf>
    <xf numFmtId="0" fontId="8" fillId="4" borderId="120" xfId="0" applyFont="1" applyFill="1" applyBorder="1" applyAlignment="1">
      <alignment horizontal="center"/>
    </xf>
    <xf numFmtId="0" fontId="8" fillId="4" borderId="118" xfId="0" applyFont="1" applyFill="1" applyBorder="1" applyAlignment="1">
      <alignment horizontal="center"/>
    </xf>
    <xf numFmtId="0" fontId="8" fillId="4" borderId="123" xfId="0" applyFont="1" applyFill="1" applyBorder="1" applyAlignment="1">
      <alignment horizontal="center"/>
    </xf>
    <xf numFmtId="0" fontId="5" fillId="6" borderId="121" xfId="0" applyFont="1" applyFill="1" applyBorder="1" applyAlignment="1">
      <alignment horizontal="left"/>
    </xf>
    <xf numFmtId="164" fontId="16" fillId="6" borderId="27" xfId="0" applyNumberFormat="1" applyFont="1" applyFill="1" applyBorder="1" applyAlignment="1">
      <alignment horizontal="center"/>
    </xf>
    <xf numFmtId="164" fontId="6" fillId="6" borderId="27" xfId="0" applyNumberFormat="1" applyFont="1" applyFill="1" applyBorder="1" applyAlignment="1">
      <alignment horizontal="center"/>
    </xf>
    <xf numFmtId="0" fontId="6" fillId="6" borderId="124" xfId="0" applyFont="1" applyFill="1" applyBorder="1" applyAlignment="1">
      <alignment horizontal="center"/>
    </xf>
    <xf numFmtId="0" fontId="5" fillId="2" borderId="121" xfId="0" applyFont="1" applyFill="1" applyBorder="1" applyAlignment="1">
      <alignment horizontal="left"/>
    </xf>
    <xf numFmtId="164" fontId="16" fillId="2" borderId="27" xfId="0" applyNumberFormat="1" applyFont="1" applyFill="1" applyBorder="1" applyAlignment="1">
      <alignment horizontal="center"/>
    </xf>
    <xf numFmtId="0" fontId="18" fillId="2" borderId="27" xfId="0" applyFont="1" applyFill="1" applyBorder="1" applyAlignment="1">
      <alignment horizontal="center"/>
    </xf>
    <xf numFmtId="0" fontId="6" fillId="2" borderId="124" xfId="0" applyFont="1" applyFill="1" applyBorder="1" applyAlignment="1">
      <alignment horizontal="center"/>
    </xf>
    <xf numFmtId="0" fontId="18" fillId="2" borderId="27" xfId="0" applyFont="1" applyFill="1" applyBorder="1"/>
    <xf numFmtId="164" fontId="6" fillId="2" borderId="27" xfId="0" applyNumberFormat="1" applyFont="1" applyFill="1" applyBorder="1" applyAlignment="1">
      <alignment horizontal="center"/>
    </xf>
    <xf numFmtId="0" fontId="5" fillId="6" borderId="122" xfId="0" applyFont="1" applyFill="1" applyBorder="1" applyAlignment="1">
      <alignment horizontal="left"/>
    </xf>
    <xf numFmtId="164" fontId="16" fillId="6" borderId="119" xfId="0" applyNumberFormat="1" applyFont="1" applyFill="1" applyBorder="1" applyAlignment="1">
      <alignment horizontal="center"/>
    </xf>
    <xf numFmtId="164" fontId="6" fillId="6" borderId="119" xfId="0" applyNumberFormat="1" applyFont="1" applyFill="1" applyBorder="1" applyAlignment="1">
      <alignment horizontal="center"/>
    </xf>
    <xf numFmtId="0" fontId="6" fillId="6" borderId="125" xfId="0" applyFont="1" applyFill="1" applyBorder="1" applyAlignment="1">
      <alignment horizontal="center"/>
    </xf>
    <xf numFmtId="0" fontId="8" fillId="13" borderId="126" xfId="0" applyFont="1" applyFill="1" applyBorder="1" applyAlignment="1">
      <alignment horizontal="center"/>
    </xf>
    <xf numFmtId="0" fontId="8" fillId="14" borderId="126" xfId="0" applyFont="1" applyFill="1" applyBorder="1" applyAlignment="1">
      <alignment horizontal="center"/>
    </xf>
    <xf numFmtId="0" fontId="6" fillId="16" borderId="0" xfId="0" applyFont="1" applyFill="1" applyAlignment="1">
      <alignment horizontal="left"/>
    </xf>
    <xf numFmtId="3" fontId="6" fillId="16" borderId="0" xfId="0" applyNumberFormat="1" applyFont="1" applyFill="1" applyAlignment="1">
      <alignment horizontal="right"/>
    </xf>
    <xf numFmtId="0" fontId="6" fillId="17" borderId="0" xfId="0" applyFont="1" applyFill="1" applyAlignment="1">
      <alignment horizontal="left"/>
    </xf>
    <xf numFmtId="3" fontId="6" fillId="17" borderId="0" xfId="0" applyNumberFormat="1" applyFont="1" applyFill="1" applyAlignment="1">
      <alignment horizontal="right"/>
    </xf>
    <xf numFmtId="0" fontId="5" fillId="17" borderId="0" xfId="0" applyFont="1" applyFill="1" applyAlignment="1">
      <alignment horizontal="left"/>
    </xf>
    <xf numFmtId="3" fontId="5" fillId="17" borderId="0" xfId="0" applyNumberFormat="1" applyFont="1" applyFill="1" applyAlignment="1">
      <alignment horizontal="right"/>
    </xf>
    <xf numFmtId="0" fontId="8" fillId="3" borderId="130" xfId="0" applyFont="1" applyFill="1" applyBorder="1" applyAlignment="1">
      <alignment horizontal="center"/>
    </xf>
    <xf numFmtId="3" fontId="8" fillId="3" borderId="130" xfId="0" applyNumberFormat="1" applyFont="1" applyFill="1" applyBorder="1" applyAlignment="1">
      <alignment horizontal="right"/>
    </xf>
    <xf numFmtId="0" fontId="27" fillId="0" borderId="0" xfId="0" applyFont="1"/>
    <xf numFmtId="0" fontId="28" fillId="4" borderId="57" xfId="0" applyFont="1" applyFill="1" applyBorder="1" applyAlignment="1">
      <alignment horizontal="center"/>
    </xf>
    <xf numFmtId="0" fontId="29" fillId="4" borderId="0" xfId="0" applyFont="1" applyFill="1" applyAlignment="1">
      <alignment horizontal="center"/>
    </xf>
    <xf numFmtId="0" fontId="30" fillId="4" borderId="0" xfId="0" applyFont="1" applyFill="1"/>
    <xf numFmtId="0" fontId="30" fillId="4" borderId="0" xfId="0" applyFont="1" applyFill="1" applyAlignment="1">
      <alignment horizontal="center"/>
    </xf>
    <xf numFmtId="0" fontId="31" fillId="0" borderId="0" xfId="0" applyFont="1"/>
    <xf numFmtId="0" fontId="32" fillId="0" borderId="0" xfId="0" applyFont="1"/>
    <xf numFmtId="0" fontId="32" fillId="6" borderId="0" xfId="0" applyFont="1" applyFill="1"/>
    <xf numFmtId="164" fontId="31" fillId="6" borderId="0" xfId="0" applyNumberFormat="1" applyFont="1" applyFill="1" applyAlignment="1">
      <alignment horizontal="center"/>
    </xf>
    <xf numFmtId="10" fontId="31" fillId="6" borderId="0" xfId="0" applyNumberFormat="1" applyFont="1" applyFill="1" applyAlignment="1">
      <alignment horizontal="center"/>
    </xf>
    <xf numFmtId="0" fontId="32" fillId="2" borderId="0" xfId="0" applyFont="1" applyFill="1"/>
    <xf numFmtId="164" fontId="31" fillId="2" borderId="0" xfId="0" applyNumberFormat="1" applyFont="1" applyFill="1" applyAlignment="1">
      <alignment horizontal="center"/>
    </xf>
    <xf numFmtId="10" fontId="31" fillId="2" borderId="0" xfId="0" applyNumberFormat="1" applyFont="1" applyFill="1" applyAlignment="1">
      <alignment horizontal="center"/>
    </xf>
    <xf numFmtId="0" fontId="29" fillId="3" borderId="0" xfId="0" applyFont="1" applyFill="1"/>
    <xf numFmtId="164" fontId="29" fillId="3" borderId="0" xfId="0" applyNumberFormat="1" applyFont="1" applyFill="1" applyAlignment="1">
      <alignment horizontal="center"/>
    </xf>
    <xf numFmtId="10" fontId="29" fillId="3" borderId="0" xfId="0" applyNumberFormat="1" applyFont="1" applyFill="1" applyAlignment="1">
      <alignment horizontal="center"/>
    </xf>
    <xf numFmtId="0" fontId="30" fillId="3" borderId="96" xfId="0" applyFont="1" applyFill="1" applyBorder="1" applyAlignment="1">
      <alignment horizontal="center" vertical="center" wrapText="1"/>
    </xf>
    <xf numFmtId="0" fontId="30" fillId="3" borderId="39" xfId="0" applyFont="1" applyFill="1" applyBorder="1" applyAlignment="1">
      <alignment horizontal="center" vertical="center" wrapText="1"/>
    </xf>
    <xf numFmtId="0" fontId="30" fillId="4" borderId="95" xfId="0" applyFont="1" applyFill="1" applyBorder="1" applyAlignment="1">
      <alignment horizontal="center" vertical="center"/>
    </xf>
    <xf numFmtId="0" fontId="30" fillId="4" borderId="84" xfId="0" applyFont="1" applyFill="1" applyBorder="1" applyAlignment="1">
      <alignment horizontal="center" vertical="center"/>
    </xf>
    <xf numFmtId="0" fontId="30" fillId="4" borderId="83" xfId="0" applyFont="1" applyFill="1" applyBorder="1" applyAlignment="1">
      <alignment horizontal="center" vertical="center"/>
    </xf>
    <xf numFmtId="0" fontId="30" fillId="4" borderId="92" xfId="0" applyFont="1" applyFill="1" applyBorder="1" applyAlignment="1">
      <alignment horizontal="center" vertical="center"/>
    </xf>
    <xf numFmtId="0" fontId="30" fillId="4" borderId="89" xfId="0" applyFont="1" applyFill="1" applyBorder="1" applyAlignment="1">
      <alignment horizontal="center" vertical="center"/>
    </xf>
    <xf numFmtId="0" fontId="33" fillId="6" borderId="93" xfId="0" applyFont="1" applyFill="1" applyBorder="1" applyAlignment="1">
      <alignment horizontal="center" vertical="center"/>
    </xf>
    <xf numFmtId="0" fontId="33" fillId="6" borderId="86" xfId="0" applyFont="1" applyFill="1" applyBorder="1" applyAlignment="1">
      <alignment horizontal="center" vertical="center"/>
    </xf>
    <xf numFmtId="0" fontId="33" fillId="6" borderId="85" xfId="0" applyFont="1" applyFill="1" applyBorder="1" applyAlignment="1">
      <alignment horizontal="center" vertical="center"/>
    </xf>
    <xf numFmtId="0" fontId="33" fillId="6" borderId="90" xfId="0" applyFont="1" applyFill="1" applyBorder="1" applyAlignment="1">
      <alignment horizontal="center" vertical="center"/>
    </xf>
    <xf numFmtId="0" fontId="33" fillId="6" borderId="87" xfId="0" applyFont="1" applyFill="1" applyBorder="1" applyAlignment="1">
      <alignment horizontal="center" vertical="center"/>
    </xf>
    <xf numFmtId="0" fontId="33" fillId="2" borderId="94" xfId="0" applyFont="1" applyFill="1" applyBorder="1" applyAlignment="1">
      <alignment horizontal="center" vertical="center"/>
    </xf>
    <xf numFmtId="0" fontId="33" fillId="2" borderId="37" xfId="0" applyFont="1" applyFill="1" applyBorder="1" applyAlignment="1">
      <alignment horizontal="center" vertical="center"/>
    </xf>
    <xf numFmtId="0" fontId="33" fillId="2" borderId="40" xfId="0" applyFont="1" applyFill="1" applyBorder="1" applyAlignment="1">
      <alignment horizontal="center" vertical="center"/>
    </xf>
    <xf numFmtId="0" fontId="33" fillId="2" borderId="91" xfId="0" applyFont="1" applyFill="1" applyBorder="1" applyAlignment="1">
      <alignment horizontal="center" vertical="center"/>
    </xf>
    <xf numFmtId="0" fontId="33" fillId="2" borderId="88" xfId="0" applyFont="1" applyFill="1" applyBorder="1" applyAlignment="1">
      <alignment horizontal="center" vertical="center"/>
    </xf>
    <xf numFmtId="0" fontId="33" fillId="6" borderId="95" xfId="0" applyFont="1" applyFill="1" applyBorder="1" applyAlignment="1">
      <alignment horizontal="center" vertical="center"/>
    </xf>
    <xf numFmtId="0" fontId="33" fillId="6" borderId="84" xfId="0" applyFont="1" applyFill="1" applyBorder="1" applyAlignment="1">
      <alignment horizontal="center" vertical="center"/>
    </xf>
    <xf numFmtId="0" fontId="33" fillId="6" borderId="83" xfId="0" applyFont="1" applyFill="1" applyBorder="1" applyAlignment="1">
      <alignment horizontal="center" vertical="center"/>
    </xf>
    <xf numFmtId="0" fontId="33" fillId="6" borderId="83" xfId="0" quotePrefix="1" applyFont="1" applyFill="1" applyBorder="1" applyAlignment="1">
      <alignment horizontal="center" vertical="center"/>
    </xf>
    <xf numFmtId="0" fontId="33" fillId="6" borderId="92" xfId="0" applyFont="1" applyFill="1" applyBorder="1" applyAlignment="1">
      <alignment horizontal="center" vertical="center"/>
    </xf>
    <xf numFmtId="0" fontId="33" fillId="6" borderId="89" xfId="0" applyFont="1" applyFill="1" applyBorder="1" applyAlignment="1">
      <alignment horizontal="center" vertical="center"/>
    </xf>
    <xf numFmtId="0" fontId="34" fillId="6" borderId="93" xfId="0" applyFont="1" applyFill="1" applyBorder="1" applyAlignment="1">
      <alignment horizontal="center" vertical="center"/>
    </xf>
    <xf numFmtId="0" fontId="34" fillId="6" borderId="86" xfId="0" applyFont="1" applyFill="1" applyBorder="1" applyAlignment="1">
      <alignment horizontal="center" vertical="center"/>
    </xf>
    <xf numFmtId="0" fontId="34" fillId="6" borderId="85" xfId="0" applyFont="1" applyFill="1" applyBorder="1" applyAlignment="1">
      <alignment horizontal="center" vertical="center"/>
    </xf>
    <xf numFmtId="0" fontId="34" fillId="6" borderId="90" xfId="0" applyFont="1" applyFill="1" applyBorder="1" applyAlignment="1">
      <alignment horizontal="center" vertical="center"/>
    </xf>
    <xf numFmtId="0" fontId="34" fillId="6" borderId="87" xfId="0" applyFont="1" applyFill="1" applyBorder="1" applyAlignment="1">
      <alignment horizontal="center" vertical="center"/>
    </xf>
    <xf numFmtId="0" fontId="34" fillId="2" borderId="94" xfId="0" applyFont="1" applyFill="1" applyBorder="1" applyAlignment="1">
      <alignment horizontal="center" vertical="center"/>
    </xf>
    <xf numFmtId="0" fontId="34" fillId="2" borderId="37" xfId="0" applyFont="1" applyFill="1" applyBorder="1" applyAlignment="1">
      <alignment horizontal="center" vertical="center"/>
    </xf>
    <xf numFmtId="0" fontId="34" fillId="2" borderId="40" xfId="0" applyFont="1" applyFill="1" applyBorder="1" applyAlignment="1">
      <alignment horizontal="center" vertical="center"/>
    </xf>
    <xf numFmtId="0" fontId="34" fillId="2" borderId="91" xfId="0" applyFont="1" applyFill="1" applyBorder="1" applyAlignment="1">
      <alignment horizontal="center" vertical="center"/>
    </xf>
    <xf numFmtId="0" fontId="34" fillId="2" borderId="88" xfId="0" applyFont="1" applyFill="1" applyBorder="1" applyAlignment="1">
      <alignment horizontal="center" vertical="center"/>
    </xf>
    <xf numFmtId="0" fontId="34" fillId="6" borderId="95" xfId="0" applyFont="1" applyFill="1" applyBorder="1" applyAlignment="1">
      <alignment horizontal="center" vertical="center"/>
    </xf>
    <xf numFmtId="0" fontId="34" fillId="6" borderId="84" xfId="0" applyFont="1" applyFill="1" applyBorder="1" applyAlignment="1">
      <alignment horizontal="center" vertical="center"/>
    </xf>
    <xf numFmtId="0" fontId="34" fillId="6" borderId="83" xfId="0" applyFont="1" applyFill="1" applyBorder="1" applyAlignment="1">
      <alignment horizontal="center" vertical="center"/>
    </xf>
    <xf numFmtId="0" fontId="34" fillId="6" borderId="92" xfId="0" applyFont="1" applyFill="1" applyBorder="1" applyAlignment="1">
      <alignment horizontal="center" vertical="center"/>
    </xf>
    <xf numFmtId="0" fontId="34" fillId="6" borderId="89" xfId="0" applyFont="1" applyFill="1" applyBorder="1" applyAlignment="1">
      <alignment horizontal="center" vertical="center"/>
    </xf>
    <xf numFmtId="0" fontId="34" fillId="8" borderId="93" xfId="0" applyFont="1" applyFill="1" applyBorder="1" applyAlignment="1">
      <alignment horizontal="center" vertical="center"/>
    </xf>
    <xf numFmtId="0" fontId="34" fillId="8" borderId="86" xfId="0" applyFont="1" applyFill="1" applyBorder="1" applyAlignment="1">
      <alignment horizontal="center" vertical="center"/>
    </xf>
    <xf numFmtId="0" fontId="34" fillId="8" borderId="85" xfId="0" applyFont="1" applyFill="1" applyBorder="1" applyAlignment="1">
      <alignment horizontal="center" vertical="center"/>
    </xf>
    <xf numFmtId="0" fontId="34" fillId="8" borderId="85" xfId="0" applyFont="1" applyFill="1" applyBorder="1" applyAlignment="1">
      <alignment horizontal="center" vertical="center" wrapText="1"/>
    </xf>
    <xf numFmtId="0" fontId="34" fillId="8" borderId="85" xfId="0" quotePrefix="1" applyFont="1" applyFill="1" applyBorder="1" applyAlignment="1">
      <alignment horizontal="center" vertical="center"/>
    </xf>
    <xf numFmtId="0" fontId="34" fillId="8" borderId="90" xfId="0" applyFont="1" applyFill="1" applyBorder="1" applyAlignment="1">
      <alignment horizontal="center" vertical="center"/>
    </xf>
    <xf numFmtId="0" fontId="34" fillId="8" borderId="87" xfId="0" applyFont="1" applyFill="1" applyBorder="1" applyAlignment="1">
      <alignment horizontal="center" vertical="center"/>
    </xf>
    <xf numFmtId="0" fontId="34" fillId="6" borderId="99" xfId="0" applyFont="1" applyFill="1" applyBorder="1" applyAlignment="1">
      <alignment horizontal="center" vertical="center"/>
    </xf>
    <xf numFmtId="0" fontId="34" fillId="6" borderId="38" xfId="0" applyFont="1" applyFill="1" applyBorder="1" applyAlignment="1">
      <alignment horizontal="center" vertical="center"/>
    </xf>
    <xf numFmtId="0" fontId="34" fillId="6" borderId="41" xfId="0" applyFont="1" applyFill="1" applyBorder="1" applyAlignment="1">
      <alignment horizontal="center" vertical="center"/>
    </xf>
    <xf numFmtId="0" fontId="34" fillId="6" borderId="41" xfId="0" quotePrefix="1" applyFont="1" applyFill="1" applyBorder="1" applyAlignment="1">
      <alignment horizontal="center" vertical="center"/>
    </xf>
    <xf numFmtId="0" fontId="34" fillId="6" borderId="100" xfId="0" applyFont="1" applyFill="1" applyBorder="1" applyAlignment="1">
      <alignment horizontal="center" vertical="center"/>
    </xf>
    <xf numFmtId="0" fontId="34" fillId="6" borderId="101" xfId="0" applyFont="1" applyFill="1" applyBorder="1" applyAlignment="1">
      <alignment horizontal="center" vertical="center"/>
    </xf>
    <xf numFmtId="0" fontId="30" fillId="3" borderId="98" xfId="0" applyFont="1" applyFill="1" applyBorder="1" applyAlignment="1">
      <alignment horizontal="center" vertical="center" wrapText="1"/>
    </xf>
    <xf numFmtId="0" fontId="30" fillId="4" borderId="113" xfId="0" applyFont="1" applyFill="1" applyBorder="1" applyAlignment="1">
      <alignment horizontal="center"/>
    </xf>
    <xf numFmtId="0" fontId="30" fillId="4" borderId="114" xfId="0" applyFont="1" applyFill="1" applyBorder="1" applyAlignment="1">
      <alignment horizontal="center"/>
    </xf>
    <xf numFmtId="0" fontId="30" fillId="4" borderId="115" xfId="0" applyFont="1" applyFill="1" applyBorder="1" applyAlignment="1">
      <alignment horizontal="center"/>
    </xf>
    <xf numFmtId="0" fontId="33" fillId="6" borderId="94" xfId="0" applyFont="1" applyFill="1" applyBorder="1" applyAlignment="1">
      <alignment horizontal="center"/>
    </xf>
    <xf numFmtId="0" fontId="33" fillId="6" borderId="40" xfId="0" applyFont="1" applyFill="1" applyBorder="1" applyAlignment="1">
      <alignment horizontal="center"/>
    </xf>
    <xf numFmtId="0" fontId="33" fillId="6" borderId="88" xfId="0" applyFont="1" applyFill="1" applyBorder="1" applyAlignment="1">
      <alignment horizontal="center"/>
    </xf>
    <xf numFmtId="0" fontId="33" fillId="2" borderId="94" xfId="0" applyFont="1" applyFill="1" applyBorder="1" applyAlignment="1">
      <alignment horizontal="center"/>
    </xf>
    <xf numFmtId="0" fontId="33" fillId="2" borderId="40" xfId="0" applyFont="1" applyFill="1" applyBorder="1" applyAlignment="1">
      <alignment horizontal="center"/>
    </xf>
    <xf numFmtId="0" fontId="33" fillId="2" borderId="88" xfId="0" applyFont="1" applyFill="1" applyBorder="1" applyAlignment="1">
      <alignment horizontal="center"/>
    </xf>
    <xf numFmtId="0" fontId="34" fillId="6" borderId="94" xfId="0" applyFont="1" applyFill="1" applyBorder="1" applyAlignment="1">
      <alignment horizontal="center"/>
    </xf>
    <xf numFmtId="0" fontId="34" fillId="6" borderId="40" xfId="0" applyFont="1" applyFill="1" applyBorder="1" applyAlignment="1">
      <alignment horizontal="center"/>
    </xf>
    <xf numFmtId="0" fontId="34" fillId="6" borderId="88" xfId="0" applyFont="1" applyFill="1" applyBorder="1" applyAlignment="1">
      <alignment horizontal="center"/>
    </xf>
    <xf numFmtId="0" fontId="34" fillId="8" borderId="94" xfId="0" applyFont="1" applyFill="1" applyBorder="1" applyAlignment="1">
      <alignment horizontal="center"/>
    </xf>
    <xf numFmtId="0" fontId="34" fillId="8" borderId="40" xfId="0" applyFont="1" applyFill="1" applyBorder="1" applyAlignment="1">
      <alignment horizontal="center"/>
    </xf>
    <xf numFmtId="0" fontId="34" fillId="8" borderId="88" xfId="0" applyFont="1" applyFill="1" applyBorder="1" applyAlignment="1">
      <alignment horizontal="center"/>
    </xf>
    <xf numFmtId="0" fontId="34" fillId="2" borderId="93" xfId="0" applyFont="1" applyFill="1" applyBorder="1" applyAlignment="1">
      <alignment horizontal="center"/>
    </xf>
    <xf numFmtId="0" fontId="34" fillId="2" borderId="85" xfId="0" applyFont="1" applyFill="1" applyBorder="1" applyAlignment="1">
      <alignment horizontal="center"/>
    </xf>
    <xf numFmtId="0" fontId="34" fillId="2" borderId="87" xfId="0" applyFont="1" applyFill="1" applyBorder="1" applyAlignment="1">
      <alignment horizontal="center"/>
    </xf>
    <xf numFmtId="0" fontId="34" fillId="6" borderId="99" xfId="0" applyFont="1" applyFill="1" applyBorder="1" applyAlignment="1">
      <alignment horizontal="center"/>
    </xf>
    <xf numFmtId="0" fontId="34" fillId="6" borderId="41" xfId="0" applyFont="1" applyFill="1" applyBorder="1" applyAlignment="1">
      <alignment horizontal="center"/>
    </xf>
    <xf numFmtId="0" fontId="34" fillId="6" borderId="101" xfId="0" applyFont="1" applyFill="1" applyBorder="1" applyAlignment="1">
      <alignment horizontal="center"/>
    </xf>
    <xf numFmtId="0" fontId="33" fillId="6" borderId="113" xfId="0" applyFont="1" applyFill="1" applyBorder="1" applyAlignment="1">
      <alignment horizontal="center"/>
    </xf>
    <xf numFmtId="0" fontId="33" fillId="6" borderId="114" xfId="0" applyFont="1" applyFill="1" applyBorder="1" applyAlignment="1">
      <alignment horizontal="center"/>
    </xf>
    <xf numFmtId="0" fontId="33" fillId="6" borderId="115" xfId="0" applyFont="1" applyFill="1" applyBorder="1" applyAlignment="1">
      <alignment horizontal="center"/>
    </xf>
    <xf numFmtId="0" fontId="34" fillId="2" borderId="94" xfId="0" applyFont="1" applyFill="1" applyBorder="1" applyAlignment="1">
      <alignment horizontal="center"/>
    </xf>
    <xf numFmtId="0" fontId="34" fillId="2" borderId="40" xfId="0" applyFont="1" applyFill="1" applyBorder="1" applyAlignment="1">
      <alignment horizontal="center"/>
    </xf>
    <xf numFmtId="0" fontId="34" fillId="2" borderId="88" xfId="0" applyFont="1" applyFill="1" applyBorder="1" applyAlignment="1">
      <alignment horizontal="center"/>
    </xf>
    <xf numFmtId="0" fontId="35" fillId="3" borderId="96" xfId="0" applyFont="1" applyFill="1" applyBorder="1" applyAlignment="1">
      <alignment horizontal="center" vertical="center" wrapText="1"/>
    </xf>
    <xf numFmtId="0" fontId="35" fillId="3" borderId="36" xfId="0" applyFont="1" applyFill="1" applyBorder="1" applyAlignment="1">
      <alignment horizontal="center" vertical="center" wrapText="1"/>
    </xf>
    <xf numFmtId="0" fontId="35" fillId="3" borderId="39" xfId="0" applyFont="1" applyFill="1" applyBorder="1" applyAlignment="1">
      <alignment horizontal="center" vertical="center" wrapText="1"/>
    </xf>
    <xf numFmtId="0" fontId="32" fillId="6" borderId="26" xfId="0" applyFont="1" applyFill="1" applyBorder="1" applyAlignment="1">
      <alignment horizontal="center"/>
    </xf>
    <xf numFmtId="169" fontId="31" fillId="6" borderId="27" xfId="0" applyNumberFormat="1" applyFont="1" applyFill="1" applyBorder="1" applyAlignment="1">
      <alignment horizontal="center"/>
    </xf>
    <xf numFmtId="0" fontId="32" fillId="6" borderId="28" xfId="0" applyFont="1" applyFill="1" applyBorder="1" applyAlignment="1">
      <alignment horizontal="center"/>
    </xf>
    <xf numFmtId="0" fontId="32" fillId="2" borderId="26" xfId="0" applyFont="1" applyFill="1" applyBorder="1" applyAlignment="1">
      <alignment horizontal="center"/>
    </xf>
    <xf numFmtId="169" fontId="31" fillId="2" borderId="27" xfId="0" applyNumberFormat="1" applyFont="1" applyFill="1" applyBorder="1" applyAlignment="1">
      <alignment horizontal="center"/>
    </xf>
    <xf numFmtId="0" fontId="32" fillId="2" borderId="28" xfId="0" applyFont="1" applyFill="1" applyBorder="1" applyAlignment="1">
      <alignment horizontal="center"/>
    </xf>
    <xf numFmtId="0" fontId="32" fillId="6" borderId="29" xfId="0" applyFont="1" applyFill="1" applyBorder="1" applyAlignment="1">
      <alignment horizontal="center"/>
    </xf>
    <xf numFmtId="169" fontId="31" fillId="6" borderId="30" xfId="0" applyNumberFormat="1" applyFont="1" applyFill="1" applyBorder="1" applyAlignment="1">
      <alignment horizontal="center"/>
    </xf>
    <xf numFmtId="0" fontId="32" fillId="6" borderId="31" xfId="0" applyFont="1" applyFill="1" applyBorder="1" applyAlignment="1">
      <alignment horizontal="center"/>
    </xf>
    <xf numFmtId="169" fontId="31" fillId="0" borderId="0" xfId="0" applyNumberFormat="1" applyFont="1"/>
    <xf numFmtId="0" fontId="30" fillId="4" borderId="23" xfId="0" applyFont="1" applyFill="1" applyBorder="1" applyAlignment="1">
      <alignment horizontal="center"/>
    </xf>
    <xf numFmtId="0" fontId="30" fillId="4" borderId="24" xfId="0" applyFont="1" applyFill="1" applyBorder="1" applyAlignment="1">
      <alignment horizontal="center"/>
    </xf>
    <xf numFmtId="0" fontId="30" fillId="4" borderId="25" xfId="0" applyFont="1" applyFill="1" applyBorder="1" applyAlignment="1">
      <alignment horizontal="center"/>
    </xf>
    <xf numFmtId="0" fontId="30" fillId="3" borderId="132" xfId="0" applyFont="1" applyFill="1" applyBorder="1" applyAlignment="1">
      <alignment horizontal="center"/>
    </xf>
    <xf numFmtId="0" fontId="30" fillId="3" borderId="133" xfId="0" applyFont="1" applyFill="1" applyBorder="1" applyAlignment="1">
      <alignment horizontal="center"/>
    </xf>
    <xf numFmtId="0" fontId="30" fillId="3" borderId="134" xfId="0" applyFont="1" applyFill="1" applyBorder="1" applyAlignment="1">
      <alignment horizontal="center"/>
    </xf>
    <xf numFmtId="0" fontId="31" fillId="6" borderId="136" xfId="0" applyFont="1" applyFill="1" applyBorder="1"/>
    <xf numFmtId="0" fontId="31" fillId="0" borderId="139" xfId="0" applyFont="1" applyBorder="1"/>
    <xf numFmtId="0" fontId="34" fillId="6" borderId="135" xfId="0" applyFont="1" applyFill="1" applyBorder="1"/>
    <xf numFmtId="170" fontId="34" fillId="6" borderId="27" xfId="0" applyNumberFormat="1" applyFont="1" applyFill="1" applyBorder="1"/>
    <xf numFmtId="171" fontId="34" fillId="6" borderId="27" xfId="0" applyNumberFormat="1" applyFont="1" applyFill="1" applyBorder="1"/>
    <xf numFmtId="171" fontId="34" fillId="6" borderId="136" xfId="0" applyNumberFormat="1" applyFont="1" applyFill="1" applyBorder="1"/>
    <xf numFmtId="0" fontId="34" fillId="0" borderId="135" xfId="0" applyFont="1" applyBorder="1"/>
    <xf numFmtId="170" fontId="34" fillId="0" borderId="27" xfId="0" applyNumberFormat="1" applyFont="1" applyBorder="1"/>
    <xf numFmtId="171" fontId="34" fillId="0" borderId="27" xfId="0" applyNumberFormat="1" applyFont="1" applyBorder="1"/>
    <xf numFmtId="171" fontId="34" fillId="0" borderId="136" xfId="0" applyNumberFormat="1" applyFont="1" applyBorder="1"/>
    <xf numFmtId="0" fontId="36" fillId="0" borderId="135" xfId="0" quotePrefix="1" applyFont="1" applyBorder="1"/>
    <xf numFmtId="170" fontId="36" fillId="0" borderId="27" xfId="0" applyNumberFormat="1" applyFont="1" applyBorder="1"/>
    <xf numFmtId="171" fontId="36" fillId="0" borderId="27" xfId="0" applyNumberFormat="1" applyFont="1" applyBorder="1"/>
    <xf numFmtId="171" fontId="36" fillId="0" borderId="136" xfId="0" applyNumberFormat="1" applyFont="1" applyBorder="1"/>
    <xf numFmtId="0" fontId="36" fillId="18" borderId="135" xfId="0" quotePrefix="1" applyFont="1" applyFill="1" applyBorder="1"/>
    <xf numFmtId="170" fontId="36" fillId="18" borderId="27" xfId="0" applyNumberFormat="1" applyFont="1" applyFill="1" applyBorder="1"/>
    <xf numFmtId="171" fontId="36" fillId="18" borderId="27" xfId="0" applyNumberFormat="1" applyFont="1" applyFill="1" applyBorder="1"/>
    <xf numFmtId="171" fontId="36" fillId="18" borderId="136" xfId="0" applyNumberFormat="1" applyFont="1" applyFill="1" applyBorder="1"/>
    <xf numFmtId="0" fontId="36" fillId="20" borderId="135" xfId="0" quotePrefix="1" applyFont="1" applyFill="1" applyBorder="1"/>
    <xf numFmtId="170" fontId="36" fillId="20" borderId="27" xfId="0" applyNumberFormat="1" applyFont="1" applyFill="1" applyBorder="1"/>
    <xf numFmtId="171" fontId="36" fillId="20" borderId="27" xfId="0" applyNumberFormat="1" applyFont="1" applyFill="1" applyBorder="1"/>
    <xf numFmtId="171" fontId="36" fillId="20" borderId="136" xfId="0" applyNumberFormat="1" applyFont="1" applyFill="1" applyBorder="1"/>
    <xf numFmtId="0" fontId="36" fillId="19" borderId="137" xfId="0" quotePrefix="1" applyFont="1" applyFill="1" applyBorder="1"/>
    <xf numFmtId="170" fontId="36" fillId="19" borderId="138" xfId="0" applyNumberFormat="1" applyFont="1" applyFill="1" applyBorder="1"/>
    <xf numFmtId="171" fontId="36" fillId="19" borderId="138" xfId="0" applyNumberFormat="1" applyFont="1" applyFill="1" applyBorder="1"/>
    <xf numFmtId="171" fontId="36" fillId="19" borderId="139" xfId="0" applyNumberFormat="1" applyFont="1" applyFill="1" applyBorder="1"/>
    <xf numFmtId="0" fontId="31" fillId="6" borderId="135" xfId="0" applyFont="1" applyFill="1" applyBorder="1"/>
    <xf numFmtId="170" fontId="31" fillId="6" borderId="27" xfId="0" applyNumberFormat="1" applyFont="1" applyFill="1" applyBorder="1"/>
    <xf numFmtId="0" fontId="31" fillId="0" borderId="135" xfId="0" applyFont="1" applyBorder="1"/>
    <xf numFmtId="170" fontId="31" fillId="0" borderId="27" xfId="0" applyNumberFormat="1" applyFont="1" applyBorder="1"/>
    <xf numFmtId="0" fontId="31" fillId="0" borderId="136" xfId="0" applyFont="1" applyBorder="1"/>
    <xf numFmtId="172" fontId="31" fillId="6" borderId="27" xfId="0" applyNumberFormat="1" applyFont="1" applyFill="1" applyBorder="1"/>
    <xf numFmtId="0" fontId="32" fillId="18" borderId="135" xfId="0" applyFont="1" applyFill="1" applyBorder="1"/>
    <xf numFmtId="170" fontId="32" fillId="18" borderId="27" xfId="0" applyNumberFormat="1" applyFont="1" applyFill="1" applyBorder="1"/>
    <xf numFmtId="0" fontId="32" fillId="18" borderId="136" xfId="0" applyFont="1" applyFill="1" applyBorder="1"/>
    <xf numFmtId="0" fontId="31" fillId="6" borderId="137" xfId="0" applyFont="1" applyFill="1" applyBorder="1"/>
    <xf numFmtId="171" fontId="31" fillId="6" borderId="138" xfId="0" applyNumberFormat="1" applyFont="1" applyFill="1" applyBorder="1"/>
    <xf numFmtId="170" fontId="31" fillId="6" borderId="136" xfId="0" applyNumberFormat="1" applyFont="1" applyFill="1" applyBorder="1"/>
    <xf numFmtId="170" fontId="31" fillId="0" borderId="136" xfId="0" applyNumberFormat="1" applyFont="1" applyBorder="1"/>
    <xf numFmtId="0" fontId="31" fillId="0" borderId="137" xfId="0" applyFont="1" applyBorder="1"/>
    <xf numFmtId="170" fontId="31" fillId="0" borderId="138" xfId="0" applyNumberFormat="1" applyFont="1" applyBorder="1"/>
    <xf numFmtId="170" fontId="31" fillId="0" borderId="139" xfId="0" applyNumberFormat="1" applyFont="1" applyBorder="1"/>
    <xf numFmtId="165" fontId="31" fillId="6" borderId="27" xfId="0" applyNumberFormat="1" applyFont="1" applyFill="1" applyBorder="1"/>
    <xf numFmtId="0" fontId="37" fillId="6" borderId="136" xfId="0" applyFont="1" applyFill="1" applyBorder="1"/>
    <xf numFmtId="172" fontId="31" fillId="0" borderId="27" xfId="0" applyNumberFormat="1" applyFont="1" applyBorder="1"/>
    <xf numFmtId="0" fontId="37" fillId="0" borderId="136" xfId="0" applyFont="1" applyBorder="1"/>
    <xf numFmtId="0" fontId="32" fillId="6" borderId="135" xfId="0" applyFont="1" applyFill="1" applyBorder="1"/>
    <xf numFmtId="172" fontId="32" fillId="8" borderId="27" xfId="0" applyNumberFormat="1" applyFont="1" applyFill="1" applyBorder="1"/>
    <xf numFmtId="0" fontId="38" fillId="6" borderId="136" xfId="0" applyFont="1" applyFill="1" applyBorder="1"/>
    <xf numFmtId="0" fontId="37" fillId="0" borderId="137" xfId="0" applyFont="1" applyBorder="1"/>
    <xf numFmtId="172" fontId="37" fillId="0" borderId="138" xfId="0" applyNumberFormat="1" applyFont="1" applyBorder="1"/>
    <xf numFmtId="165" fontId="31" fillId="0" borderId="27" xfId="0" applyNumberFormat="1" applyFont="1" applyBorder="1"/>
    <xf numFmtId="0" fontId="32" fillId="0" borderId="137" xfId="0" applyFont="1" applyBorder="1"/>
    <xf numFmtId="165" fontId="32" fillId="8" borderId="138" xfId="0" applyNumberFormat="1" applyFont="1" applyFill="1" applyBorder="1"/>
    <xf numFmtId="2" fontId="31" fillId="6" borderId="27" xfId="0" applyNumberFormat="1" applyFont="1" applyFill="1" applyBorder="1"/>
    <xf numFmtId="2" fontId="31" fillId="0" borderId="27" xfId="0" applyNumberFormat="1" applyFont="1" applyBorder="1"/>
    <xf numFmtId="0" fontId="32" fillId="18" borderId="137" xfId="0" applyFont="1" applyFill="1" applyBorder="1"/>
    <xf numFmtId="2" fontId="32" fillId="18" borderId="138" xfId="0" applyNumberFormat="1" applyFont="1" applyFill="1" applyBorder="1"/>
    <xf numFmtId="173" fontId="31" fillId="6" borderId="27" xfId="0" applyNumberFormat="1" applyFont="1" applyFill="1" applyBorder="1"/>
    <xf numFmtId="0" fontId="31" fillId="6" borderId="27" xfId="0" applyFont="1" applyFill="1" applyBorder="1"/>
    <xf numFmtId="173" fontId="31" fillId="0" borderId="27" xfId="0" applyNumberFormat="1" applyFont="1" applyBorder="1"/>
    <xf numFmtId="0" fontId="31" fillId="0" borderId="27" xfId="0" applyFont="1" applyBorder="1"/>
    <xf numFmtId="0" fontId="32" fillId="19" borderId="137" xfId="0" applyFont="1" applyFill="1" applyBorder="1"/>
    <xf numFmtId="171" fontId="32" fillId="19" borderId="138" xfId="0" applyNumberFormat="1" applyFont="1" applyFill="1" applyBorder="1"/>
    <xf numFmtId="0" fontId="32" fillId="19" borderId="138" xfId="0" applyFont="1" applyFill="1" applyBorder="1"/>
    <xf numFmtId="0" fontId="32" fillId="19" borderId="139" xfId="0" applyFont="1" applyFill="1" applyBorder="1"/>
    <xf numFmtId="0" fontId="30" fillId="21" borderId="137" xfId="0" applyFont="1" applyFill="1" applyBorder="1"/>
    <xf numFmtId="0" fontId="30" fillId="21" borderId="138" xfId="0" applyFont="1" applyFill="1" applyBorder="1" applyAlignment="1">
      <alignment horizontal="center"/>
    </xf>
    <xf numFmtId="0" fontId="30" fillId="3" borderId="0" xfId="0" applyFont="1" applyFill="1"/>
    <xf numFmtId="0" fontId="35" fillId="3" borderId="0" xfId="0" applyFont="1" applyFill="1" applyAlignment="1">
      <alignment horizontal="center" vertical="center"/>
    </xf>
    <xf numFmtId="171" fontId="31" fillId="0" borderId="136" xfId="0" applyNumberFormat="1" applyFont="1" applyBorder="1"/>
    <xf numFmtId="170" fontId="32" fillId="19" borderId="138" xfId="0" applyNumberFormat="1" applyFont="1" applyFill="1" applyBorder="1"/>
    <xf numFmtId="171" fontId="32" fillId="19" borderId="139" xfId="0" applyNumberFormat="1" applyFont="1" applyFill="1" applyBorder="1"/>
    <xf numFmtId="170" fontId="31" fillId="0" borderId="0" xfId="0" applyNumberFormat="1" applyFont="1"/>
    <xf numFmtId="171" fontId="31" fillId="0" borderId="0" xfId="0" applyNumberFormat="1" applyFont="1"/>
    <xf numFmtId="0" fontId="32" fillId="18" borderId="132" xfId="0" applyFont="1" applyFill="1" applyBorder="1"/>
    <xf numFmtId="170" fontId="31" fillId="18" borderId="133" xfId="0" applyNumberFormat="1" applyFont="1" applyFill="1" applyBorder="1"/>
    <xf numFmtId="171" fontId="31" fillId="18" borderId="134" xfId="0" applyNumberFormat="1" applyFont="1" applyFill="1" applyBorder="1"/>
    <xf numFmtId="170" fontId="37" fillId="0" borderId="27" xfId="0" applyNumberFormat="1" applyFont="1" applyBorder="1"/>
    <xf numFmtId="171" fontId="37" fillId="0" borderId="136" xfId="0" applyNumberFormat="1" applyFont="1" applyBorder="1"/>
    <xf numFmtId="0" fontId="39" fillId="0" borderId="0" xfId="0" applyFont="1"/>
    <xf numFmtId="170" fontId="39" fillId="0" borderId="0" xfId="0" applyNumberFormat="1" applyFont="1"/>
    <xf numFmtId="0" fontId="32" fillId="18" borderId="133" xfId="0" applyFont="1" applyFill="1" applyBorder="1" applyAlignment="1">
      <alignment horizontal="center"/>
    </xf>
    <xf numFmtId="0" fontId="32" fillId="18" borderId="134" xfId="0" applyFont="1" applyFill="1" applyBorder="1" applyAlignment="1">
      <alignment horizontal="center"/>
    </xf>
    <xf numFmtId="170" fontId="37" fillId="0" borderId="136" xfId="0" applyNumberFormat="1" applyFont="1" applyBorder="1"/>
    <xf numFmtId="0" fontId="30" fillId="3" borderId="132" xfId="0" applyFont="1" applyFill="1" applyBorder="1"/>
    <xf numFmtId="166" fontId="31" fillId="0" borderId="27" xfId="0" applyNumberFormat="1" applyFont="1" applyBorder="1"/>
    <xf numFmtId="0" fontId="39" fillId="0" borderId="136" xfId="0" applyFont="1" applyBorder="1"/>
    <xf numFmtId="166" fontId="32" fillId="18" borderId="27" xfId="0" applyNumberFormat="1" applyFont="1" applyFill="1" applyBorder="1"/>
    <xf numFmtId="0" fontId="40" fillId="18" borderId="136" xfId="0" applyFont="1" applyFill="1" applyBorder="1"/>
    <xf numFmtId="166" fontId="32" fillId="19" borderId="138" xfId="0" applyNumberFormat="1" applyFont="1" applyFill="1" applyBorder="1"/>
    <xf numFmtId="0" fontId="40" fillId="19" borderId="139" xfId="0" applyFont="1" applyFill="1" applyBorder="1"/>
    <xf numFmtId="0" fontId="32" fillId="24" borderId="0" xfId="0" applyFont="1" applyFill="1"/>
    <xf numFmtId="0" fontId="32" fillId="8" borderId="0" xfId="0" applyFont="1" applyFill="1"/>
    <xf numFmtId="2" fontId="31" fillId="0" borderId="0" xfId="0" applyNumberFormat="1" applyFont="1"/>
    <xf numFmtId="10" fontId="31" fillId="0" borderId="0" xfId="0" applyNumberFormat="1" applyFont="1"/>
    <xf numFmtId="170" fontId="32" fillId="24" borderId="0" xfId="0" applyNumberFormat="1" applyFont="1" applyFill="1"/>
    <xf numFmtId="170" fontId="32" fillId="0" borderId="0" xfId="0" applyNumberFormat="1" applyFont="1"/>
    <xf numFmtId="0" fontId="43" fillId="2" borderId="0" xfId="0" applyFont="1" applyFill="1"/>
    <xf numFmtId="170" fontId="32" fillId="2" borderId="0" xfId="0" applyNumberFormat="1" applyFont="1" applyFill="1"/>
    <xf numFmtId="170" fontId="32" fillId="8" borderId="0" xfId="0" applyNumberFormat="1" applyFont="1" applyFill="1"/>
    <xf numFmtId="0" fontId="30" fillId="2" borderId="0" xfId="0" applyFont="1" applyFill="1"/>
    <xf numFmtId="170" fontId="30" fillId="2" borderId="0" xfId="0" applyNumberFormat="1" applyFont="1" applyFill="1"/>
    <xf numFmtId="173" fontId="31" fillId="0" borderId="0" xfId="0" applyNumberFormat="1" applyFont="1"/>
    <xf numFmtId="0" fontId="31" fillId="8" borderId="0" xfId="0" applyFont="1" applyFill="1"/>
    <xf numFmtId="0" fontId="30" fillId="3" borderId="0" xfId="0" applyFont="1" applyFill="1" applyAlignment="1">
      <alignment horizontal="center"/>
    </xf>
    <xf numFmtId="170" fontId="30" fillId="4" borderId="0" xfId="0" applyNumberFormat="1" applyFont="1" applyFill="1"/>
    <xf numFmtId="0" fontId="32" fillId="18" borderId="0" xfId="0" applyFont="1" applyFill="1"/>
    <xf numFmtId="170" fontId="32" fillId="18" borderId="0" xfId="0" applyNumberFormat="1" applyFont="1" applyFill="1"/>
    <xf numFmtId="0" fontId="36" fillId="18" borderId="0" xfId="0" applyFont="1" applyFill="1"/>
    <xf numFmtId="170" fontId="36" fillId="18" borderId="0" xfId="0" applyNumberFormat="1" applyFont="1" applyFill="1"/>
    <xf numFmtId="0" fontId="46" fillId="0" borderId="0" xfId="0" applyFont="1"/>
    <xf numFmtId="0" fontId="30" fillId="20" borderId="0" xfId="0" quotePrefix="1" applyFont="1" applyFill="1"/>
    <xf numFmtId="170" fontId="30" fillId="20" borderId="0" xfId="0" applyNumberFormat="1" applyFont="1" applyFill="1"/>
    <xf numFmtId="0" fontId="30" fillId="20" borderId="0" xfId="0" applyFont="1" applyFill="1"/>
    <xf numFmtId="0" fontId="42" fillId="19" borderId="0" xfId="0" applyFont="1" applyFill="1"/>
    <xf numFmtId="170" fontId="32" fillId="19" borderId="0" xfId="0" applyNumberFormat="1" applyFont="1" applyFill="1"/>
    <xf numFmtId="0" fontId="44" fillId="8" borderId="0" xfId="0" applyFont="1" applyFill="1"/>
    <xf numFmtId="0" fontId="45" fillId="8" borderId="0" xfId="0" applyFont="1" applyFill="1"/>
    <xf numFmtId="3" fontId="31" fillId="2" borderId="27" xfId="0" applyNumberFormat="1" applyFont="1" applyFill="1" applyBorder="1" applyAlignment="1">
      <alignment horizontal="center"/>
    </xf>
    <xf numFmtId="0" fontId="2" fillId="0" borderId="0" xfId="0" applyFont="1" applyAlignment="1">
      <alignment horizontal="center" vertical="center"/>
    </xf>
    <xf numFmtId="0" fontId="7" fillId="3" borderId="2"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164" fontId="5" fillId="5" borderId="21" xfId="0" applyNumberFormat="1" applyFont="1" applyFill="1" applyBorder="1" applyAlignment="1">
      <alignment horizontal="center"/>
    </xf>
    <xf numFmtId="164" fontId="5" fillId="5" borderId="22" xfId="0" applyNumberFormat="1" applyFont="1" applyFill="1" applyBorder="1" applyAlignment="1">
      <alignment horizontal="center"/>
    </xf>
    <xf numFmtId="164" fontId="5" fillId="5" borderId="10" xfId="0" applyNumberFormat="1" applyFont="1" applyFill="1" applyBorder="1" applyAlignment="1">
      <alignment horizontal="center"/>
    </xf>
    <xf numFmtId="164" fontId="5" fillId="5" borderId="11" xfId="0" applyNumberFormat="1" applyFont="1" applyFill="1" applyBorder="1" applyAlignment="1">
      <alignment horizontal="center"/>
    </xf>
    <xf numFmtId="0" fontId="9" fillId="4" borderId="9"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24" fillId="11" borderId="10" xfId="0" applyFont="1" applyFill="1" applyBorder="1" applyAlignment="1">
      <alignment horizontal="center" vertical="center"/>
    </xf>
    <xf numFmtId="0" fontId="35" fillId="3" borderId="39" xfId="0" applyFont="1" applyFill="1" applyBorder="1" applyAlignment="1">
      <alignment horizontal="center" vertical="center" wrapText="1"/>
    </xf>
    <xf numFmtId="0" fontId="35" fillId="3" borderId="97" xfId="0" applyFont="1" applyFill="1" applyBorder="1" applyAlignment="1">
      <alignment horizontal="center" vertical="center" wrapText="1"/>
    </xf>
    <xf numFmtId="0" fontId="35" fillId="3" borderId="98" xfId="0" applyFont="1" applyFill="1" applyBorder="1" applyAlignment="1">
      <alignment horizontal="center" vertical="center" wrapText="1"/>
    </xf>
    <xf numFmtId="0" fontId="35" fillId="3" borderId="44" xfId="0" applyFont="1" applyFill="1" applyBorder="1" applyAlignment="1">
      <alignment horizontal="center" vertical="center"/>
    </xf>
    <xf numFmtId="0" fontId="35" fillId="3" borderId="43" xfId="0" applyFont="1" applyFill="1" applyBorder="1" applyAlignment="1">
      <alignment horizontal="center" vertical="center"/>
    </xf>
    <xf numFmtId="0" fontId="35" fillId="3" borderId="45" xfId="0" applyFont="1" applyFill="1" applyBorder="1" applyAlignment="1">
      <alignment horizontal="center" vertical="center"/>
    </xf>
    <xf numFmtId="0" fontId="30" fillId="4" borderId="2" xfId="0" applyFont="1" applyFill="1" applyBorder="1" applyAlignment="1">
      <alignment horizontal="center"/>
    </xf>
    <xf numFmtId="0" fontId="13" fillId="10" borderId="10" xfId="0" applyFont="1" applyFill="1" applyBorder="1" applyAlignment="1">
      <alignment vertical="top" wrapText="1"/>
    </xf>
    <xf numFmtId="0" fontId="13" fillId="10" borderId="11" xfId="0" applyFont="1" applyFill="1" applyBorder="1" applyAlignment="1">
      <alignment vertical="top" wrapText="1"/>
    </xf>
    <xf numFmtId="0" fontId="13" fillId="9" borderId="10" xfId="0" applyFont="1" applyFill="1" applyBorder="1" applyAlignment="1">
      <alignment vertical="top" wrapText="1"/>
    </xf>
    <xf numFmtId="0" fontId="13" fillId="9" borderId="11" xfId="0" applyFont="1" applyFill="1" applyBorder="1" applyAlignment="1">
      <alignment vertical="top" wrapText="1"/>
    </xf>
    <xf numFmtId="0" fontId="21" fillId="8" borderId="42" xfId="0" applyFont="1" applyFill="1" applyBorder="1" applyAlignment="1">
      <alignment vertical="top" wrapText="1"/>
    </xf>
    <xf numFmtId="0" fontId="21" fillId="8" borderId="13" xfId="0" applyFont="1" applyFill="1" applyBorder="1" applyAlignment="1">
      <alignment vertical="top" wrapText="1"/>
    </xf>
    <xf numFmtId="0" fontId="7" fillId="3" borderId="44" xfId="0" applyFont="1" applyFill="1" applyBorder="1" applyAlignment="1">
      <alignment horizontal="center" wrapText="1"/>
    </xf>
    <xf numFmtId="0" fontId="7" fillId="3" borderId="43" xfId="0" applyFont="1" applyFill="1" applyBorder="1" applyAlignment="1">
      <alignment horizontal="center" wrapText="1"/>
    </xf>
    <xf numFmtId="0" fontId="7" fillId="3" borderId="45" xfId="0" applyFont="1" applyFill="1" applyBorder="1" applyAlignment="1">
      <alignment horizontal="center" wrapText="1"/>
    </xf>
    <xf numFmtId="0" fontId="9" fillId="4" borderId="44" xfId="0" applyFont="1" applyFill="1" applyBorder="1" applyAlignment="1">
      <alignment horizontal="center"/>
    </xf>
    <xf numFmtId="0" fontId="9" fillId="4" borderId="43" xfId="0" applyFont="1" applyFill="1" applyBorder="1" applyAlignment="1">
      <alignment horizontal="center"/>
    </xf>
    <xf numFmtId="0" fontId="9" fillId="4" borderId="45" xfId="0" applyFont="1" applyFill="1" applyBorder="1" applyAlignment="1">
      <alignment horizontal="center"/>
    </xf>
    <xf numFmtId="0" fontId="12" fillId="3" borderId="6" xfId="0" applyFont="1" applyFill="1" applyBorder="1" applyAlignment="1">
      <alignment horizontal="center"/>
    </xf>
    <xf numFmtId="0" fontId="12" fillId="3" borderId="7" xfId="0" applyFont="1" applyFill="1" applyBorder="1" applyAlignment="1">
      <alignment horizontal="center"/>
    </xf>
    <xf numFmtId="0" fontId="12" fillId="3" borderId="8" xfId="0" applyFont="1" applyFill="1" applyBorder="1" applyAlignment="1">
      <alignment horizontal="center"/>
    </xf>
    <xf numFmtId="0" fontId="7" fillId="3" borderId="105" xfId="0" applyFont="1" applyFill="1" applyBorder="1" applyAlignment="1">
      <alignment horizontal="center" vertical="center"/>
    </xf>
    <xf numFmtId="0" fontId="6" fillId="3" borderId="106" xfId="0" applyFont="1" applyFill="1" applyBorder="1" applyAlignment="1">
      <alignment horizontal="center" vertical="center"/>
    </xf>
    <xf numFmtId="0" fontId="6" fillId="3" borderId="49" xfId="0" applyFont="1" applyFill="1" applyBorder="1" applyAlignment="1">
      <alignment horizontal="center" vertic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0" fontId="7" fillId="3" borderId="0" xfId="0" applyFont="1" applyFill="1" applyAlignment="1">
      <alignment horizontal="center"/>
    </xf>
    <xf numFmtId="0" fontId="9" fillId="4" borderId="0" xfId="0" applyFont="1" applyFill="1" applyAlignment="1">
      <alignment horizontal="center"/>
    </xf>
    <xf numFmtId="0" fontId="35" fillId="3" borderId="0" xfId="0" applyFont="1" applyFill="1" applyAlignment="1">
      <alignment horizontal="center" vertical="center"/>
    </xf>
    <xf numFmtId="0" fontId="31" fillId="8" borderId="0" xfId="0" applyFont="1" applyFill="1" applyAlignment="1">
      <alignment vertical="top" wrapText="1"/>
    </xf>
    <xf numFmtId="0" fontId="30" fillId="3" borderId="0" xfId="0" applyFont="1" applyFill="1" applyAlignment="1">
      <alignment horizontal="left"/>
    </xf>
    <xf numFmtId="0" fontId="31" fillId="23" borderId="0" xfId="0" applyFont="1" applyFill="1" applyAlignment="1">
      <alignment vertical="top" wrapText="1"/>
    </xf>
    <xf numFmtId="0" fontId="32" fillId="22" borderId="0" xfId="0" applyFont="1" applyFill="1" applyAlignment="1">
      <alignment vertical="top" wrapText="1"/>
    </xf>
    <xf numFmtId="0" fontId="24" fillId="0" borderId="0" xfId="0" applyFont="1"/>
    <xf numFmtId="0" fontId="47" fillId="0" borderId="0" xfId="0" applyFont="1"/>
    <xf numFmtId="0" fontId="24" fillId="0" borderId="0" xfId="0" applyFont="1" applyAlignment="1">
      <alignment horizontal="center"/>
    </xf>
    <xf numFmtId="3" fontId="47" fillId="0" borderId="0" xfId="0" applyNumberFormat="1" applyFont="1"/>
    <xf numFmtId="0" fontId="31" fillId="6" borderId="136" xfId="0" applyFont="1" applyFill="1" applyBorder="1" applyAlignment="1">
      <alignment wrapText="1"/>
    </xf>
    <xf numFmtId="0" fontId="31" fillId="0" borderId="136" xfId="0" applyFont="1" applyBorder="1" applyAlignment="1">
      <alignment wrapText="1"/>
    </xf>
    <xf numFmtId="0" fontId="31" fillId="6" borderId="139" xfId="0" applyFont="1" applyFill="1" applyBorder="1" applyAlignment="1">
      <alignment wrapText="1"/>
    </xf>
    <xf numFmtId="0" fontId="32" fillId="18" borderId="139" xfId="0" applyFont="1" applyFill="1" applyBorder="1" applyAlignment="1">
      <alignment wrapText="1"/>
    </xf>
    <xf numFmtId="0" fontId="30" fillId="21" borderId="139" xfId="0" applyFont="1" applyFill="1" applyBorder="1" applyAlignment="1">
      <alignment wrapText="1"/>
    </xf>
    <xf numFmtId="0" fontId="41" fillId="8" borderId="0" xfId="0" applyFont="1" applyFill="1" applyAlignment="1">
      <alignment wrapText="1"/>
    </xf>
    <xf numFmtId="0" fontId="31" fillId="8" borderId="0" xfId="0" applyFont="1" applyFill="1" applyAlignment="1">
      <alignment wrapText="1"/>
    </xf>
    <xf numFmtId="0" fontId="31" fillId="0" borderId="0" xfId="0" applyFont="1" applyAlignment="1">
      <alignment wrapText="1"/>
    </xf>
    <xf numFmtId="0" fontId="32" fillId="8" borderId="0" xfId="0" applyFont="1" applyFill="1" applyAlignment="1">
      <alignment wrapText="1"/>
    </xf>
    <xf numFmtId="0" fontId="5" fillId="5" borderId="20" xfId="0" applyFont="1" applyFill="1" applyBorder="1" applyAlignment="1"/>
    <xf numFmtId="0" fontId="5" fillId="5" borderId="21" xfId="0" applyFont="1" applyFill="1" applyBorder="1" applyAlignment="1"/>
    <xf numFmtId="0" fontId="5" fillId="5" borderId="9" xfId="0" applyFont="1" applyFill="1" applyBorder="1" applyAlignment="1"/>
    <xf numFmtId="0" fontId="5" fillId="5" borderId="10" xfId="0" applyFont="1" applyFill="1" applyBorder="1" applyAlignment="1"/>
    <xf numFmtId="0" fontId="31" fillId="0" borderId="1" xfId="0" applyFont="1" applyBorder="1" applyAlignment="1"/>
    <xf numFmtId="0" fontId="31" fillId="0" borderId="3" xfId="0" applyFont="1" applyBorder="1" applyAlignment="1"/>
    <xf numFmtId="0" fontId="30" fillId="3" borderId="0" xfId="0" applyFont="1" applyFill="1" applyAlignment="1"/>
    <xf numFmtId="0" fontId="32" fillId="18" borderId="0" xfId="0" applyFont="1" applyFill="1" applyAlignment="1"/>
    <xf numFmtId="0" fontId="30" fillId="4" borderId="0" xfId="0" applyFont="1" applyFill="1" applyAlignment="1"/>
    <xf numFmtId="0" fontId="37" fillId="6" borderId="0" xfId="0" applyFont="1" applyFill="1" applyAlignment="1"/>
  </cellXfs>
  <cellStyles count="1">
    <cellStyle name="Normal" xfId="0" builtinId="0"/>
  </cellStyles>
  <dxfs count="4">
    <dxf>
      <font>
        <color rgb="FFCC0000"/>
      </font>
    </dxf>
    <dxf>
      <font>
        <color rgb="FF008000"/>
      </font>
    </dxf>
    <dxf>
      <font>
        <color rgb="FFCC0000"/>
      </font>
    </dxf>
    <dxf>
      <font>
        <color rgb="FF008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ACERINOX — 2023</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barChart>
        <c:barDir val="col"/>
        <c:grouping val="stacked"/>
        <c:varyColors val="0"/>
        <c:ser>
          <c:idx val="0"/>
          <c:order val="0"/>
          <c:tx>
            <c:strRef>
              <c:f>'COMPARATIVA SECTORIAL'!$AD$4</c:f>
              <c:strCache>
                <c:ptCount val="1"/>
                <c:pt idx="0">
                  <c:v>Pasivo C</c:v>
                </c:pt>
              </c:strCache>
            </c:strRef>
          </c:tx>
          <c:spPr>
            <a:solidFill>
              <a:srgbClr val="A9D1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SECTORIAL'!$AC$5:$AC$7</c:f>
              <c:strCache>
                <c:ptCount val="3"/>
                <c:pt idx="0">
                  <c:v>Activo</c:v>
                </c:pt>
                <c:pt idx="1">
                  <c:v>FM</c:v>
                </c:pt>
                <c:pt idx="2">
                  <c:v>PN + Pasivo</c:v>
                </c:pt>
              </c:strCache>
            </c:strRef>
          </c:cat>
          <c:val>
            <c:numRef>
              <c:f>'COMPARATIVA SECTORIAL'!$AD$5:$AD$7</c:f>
              <c:numCache>
                <c:formatCode>General</c:formatCode>
                <c:ptCount val="3"/>
                <c:pt idx="0">
                  <c:v>0</c:v>
                </c:pt>
                <c:pt idx="1">
                  <c:v>0</c:v>
                </c:pt>
                <c:pt idx="2" formatCode="#,##0">
                  <c:v>1031409</c:v>
                </c:pt>
              </c:numCache>
            </c:numRef>
          </c:val>
          <c:extLst>
            <c:ext xmlns:c16="http://schemas.microsoft.com/office/drawing/2014/chart" uri="{C3380CC4-5D6E-409C-BE32-E72D297353CC}">
              <c16:uniqueId val="{00000000-B4DE-47C2-8DA4-4EA7B83207D6}"/>
            </c:ext>
          </c:extLst>
        </c:ser>
        <c:ser>
          <c:idx val="1"/>
          <c:order val="1"/>
          <c:tx>
            <c:strRef>
              <c:f>'COMPARATIVA SECTORIAL'!$AE$4</c:f>
              <c:strCache>
                <c:ptCount val="1"/>
                <c:pt idx="0">
                  <c:v>Pasivo NC</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SECTORIAL'!$AC$5:$AC$7</c:f>
              <c:strCache>
                <c:ptCount val="3"/>
                <c:pt idx="0">
                  <c:v>Activo</c:v>
                </c:pt>
                <c:pt idx="1">
                  <c:v>FM</c:v>
                </c:pt>
                <c:pt idx="2">
                  <c:v>PN + Pasivo</c:v>
                </c:pt>
              </c:strCache>
            </c:strRef>
          </c:cat>
          <c:val>
            <c:numRef>
              <c:f>'COMPARATIVA SECTORIAL'!$AE$5:$AE$7</c:f>
              <c:numCache>
                <c:formatCode>General</c:formatCode>
                <c:ptCount val="3"/>
                <c:pt idx="0">
                  <c:v>0</c:v>
                </c:pt>
                <c:pt idx="1">
                  <c:v>0</c:v>
                </c:pt>
                <c:pt idx="2" formatCode="#,##0">
                  <c:v>57764</c:v>
                </c:pt>
              </c:numCache>
            </c:numRef>
          </c:val>
          <c:extLst>
            <c:ext xmlns:c16="http://schemas.microsoft.com/office/drawing/2014/chart" uri="{C3380CC4-5D6E-409C-BE32-E72D297353CC}">
              <c16:uniqueId val="{00000002-B4DE-47C2-8DA4-4EA7B83207D6}"/>
            </c:ext>
          </c:extLst>
        </c:ser>
        <c:ser>
          <c:idx val="2"/>
          <c:order val="2"/>
          <c:tx>
            <c:strRef>
              <c:f>'COMPARATIVA SECTORIAL'!$AF$4</c:f>
              <c:strCache>
                <c:ptCount val="1"/>
                <c:pt idx="0">
                  <c:v>Patrimonio Neto</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SECTORIAL'!$AC$5:$AC$7</c:f>
              <c:strCache>
                <c:ptCount val="3"/>
                <c:pt idx="0">
                  <c:v>Activo</c:v>
                </c:pt>
                <c:pt idx="1">
                  <c:v>FM</c:v>
                </c:pt>
                <c:pt idx="2">
                  <c:v>PN + Pasivo</c:v>
                </c:pt>
              </c:strCache>
            </c:strRef>
          </c:cat>
          <c:val>
            <c:numRef>
              <c:f>'COMPARATIVA SECTORIAL'!$AF$5:$AF$7</c:f>
              <c:numCache>
                <c:formatCode>General</c:formatCode>
                <c:ptCount val="3"/>
                <c:pt idx="0">
                  <c:v>0</c:v>
                </c:pt>
                <c:pt idx="1">
                  <c:v>0</c:v>
                </c:pt>
                <c:pt idx="2" formatCode="#,##0">
                  <c:v>53265</c:v>
                </c:pt>
              </c:numCache>
            </c:numRef>
          </c:val>
          <c:extLst>
            <c:ext xmlns:c16="http://schemas.microsoft.com/office/drawing/2014/chart" uri="{C3380CC4-5D6E-409C-BE32-E72D297353CC}">
              <c16:uniqueId val="{00000004-B4DE-47C2-8DA4-4EA7B83207D6}"/>
            </c:ext>
          </c:extLst>
        </c:ser>
        <c:ser>
          <c:idx val="3"/>
          <c:order val="3"/>
          <c:tx>
            <c:strRef>
              <c:f>'COMPARATIVA SECTORIAL'!$AG$4</c:f>
              <c:strCache>
                <c:ptCount val="1"/>
                <c:pt idx="0">
                  <c:v>Activo Corriente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SECTORIAL'!$AC$5:$AC$7</c:f>
              <c:strCache>
                <c:ptCount val="3"/>
                <c:pt idx="0">
                  <c:v>Activo</c:v>
                </c:pt>
                <c:pt idx="1">
                  <c:v>FM</c:v>
                </c:pt>
                <c:pt idx="2">
                  <c:v>PN + Pasivo</c:v>
                </c:pt>
              </c:strCache>
            </c:strRef>
          </c:cat>
          <c:val>
            <c:numRef>
              <c:f>'COMPARATIVA SECTORIAL'!$AG$5:$AG$7</c:f>
              <c:numCache>
                <c:formatCode>General</c:formatCode>
                <c:ptCount val="3"/>
                <c:pt idx="0" formatCode="#,##0">
                  <c:v>625068</c:v>
                </c:pt>
                <c:pt idx="1">
                  <c:v>0</c:v>
                </c:pt>
                <c:pt idx="2">
                  <c:v>0</c:v>
                </c:pt>
              </c:numCache>
            </c:numRef>
          </c:val>
          <c:extLst>
            <c:ext xmlns:c16="http://schemas.microsoft.com/office/drawing/2014/chart" uri="{C3380CC4-5D6E-409C-BE32-E72D297353CC}">
              <c16:uniqueId val="{00000006-B4DE-47C2-8DA4-4EA7B83207D6}"/>
            </c:ext>
          </c:extLst>
        </c:ser>
        <c:ser>
          <c:idx val="4"/>
          <c:order val="4"/>
          <c:tx>
            <c:strRef>
              <c:f>'COMPARATIVA SECTORIAL'!$AH$4</c:f>
              <c:strCache>
                <c:ptCount val="1"/>
                <c:pt idx="0">
                  <c:v>Activo No Corriente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SECTORIAL'!$AC$5:$AC$7</c:f>
              <c:strCache>
                <c:ptCount val="3"/>
                <c:pt idx="0">
                  <c:v>Activo</c:v>
                </c:pt>
                <c:pt idx="1">
                  <c:v>FM</c:v>
                </c:pt>
                <c:pt idx="2">
                  <c:v>PN + Pasivo</c:v>
                </c:pt>
              </c:strCache>
            </c:strRef>
          </c:cat>
          <c:val>
            <c:numRef>
              <c:f>'COMPARATIVA SECTORIAL'!$AH$5:$AH$7</c:f>
              <c:numCache>
                <c:formatCode>General</c:formatCode>
                <c:ptCount val="3"/>
                <c:pt idx="0" formatCode="#,##0">
                  <c:v>517370</c:v>
                </c:pt>
                <c:pt idx="1">
                  <c:v>0</c:v>
                </c:pt>
                <c:pt idx="2">
                  <c:v>0</c:v>
                </c:pt>
              </c:numCache>
            </c:numRef>
          </c:val>
          <c:extLst>
            <c:ext xmlns:c16="http://schemas.microsoft.com/office/drawing/2014/chart" uri="{C3380CC4-5D6E-409C-BE32-E72D297353CC}">
              <c16:uniqueId val="{00000008-B4DE-47C2-8DA4-4EA7B83207D6}"/>
            </c:ext>
          </c:extLst>
        </c:ser>
        <c:ser>
          <c:idx val="5"/>
          <c:order val="5"/>
          <c:tx>
            <c:v/>
          </c:tx>
          <c:spPr>
            <a:noFill/>
            <a:ln>
              <a:solidFill>
                <a:srgbClr val="FFFFFF"/>
              </a:solidFill>
              <a:prstDash val="solid"/>
            </a:ln>
            <a:effectLst/>
          </c:spPr>
          <c:invertIfNegative val="0"/>
          <c:cat>
            <c:strRef>
              <c:f>'COMPARATIVA SECTORIAL'!$AC$5:$AC$7</c:f>
              <c:strCache>
                <c:ptCount val="3"/>
                <c:pt idx="0">
                  <c:v>Activo</c:v>
                </c:pt>
                <c:pt idx="1">
                  <c:v>FM</c:v>
                </c:pt>
                <c:pt idx="2">
                  <c:v>PN + Pasivo</c:v>
                </c:pt>
              </c:strCache>
            </c:strRef>
          </c:cat>
          <c:val>
            <c:numRef>
              <c:f>'COMPARATIVA SECTORIAL'!$AI$5:$AI$7</c:f>
              <c:numCache>
                <c:formatCode>#,##0</c:formatCode>
                <c:ptCount val="3"/>
                <c:pt idx="0" formatCode="General">
                  <c:v>0</c:v>
                </c:pt>
                <c:pt idx="1">
                  <c:v>111029</c:v>
                </c:pt>
                <c:pt idx="2" formatCode="General">
                  <c:v>0</c:v>
                </c:pt>
              </c:numCache>
            </c:numRef>
          </c:val>
          <c:extLst>
            <c:ext xmlns:c16="http://schemas.microsoft.com/office/drawing/2014/chart" uri="{C3380CC4-5D6E-409C-BE32-E72D297353CC}">
              <c16:uniqueId val="{0000000A-B4DE-47C2-8DA4-4EA7B83207D6}"/>
            </c:ext>
          </c:extLst>
        </c:ser>
        <c:ser>
          <c:idx val="6"/>
          <c:order val="6"/>
          <c:tx>
            <c:strRef>
              <c:f>'COMPARATIVA SECTORIAL'!$AJ$4</c:f>
              <c:strCache>
                <c:ptCount val="1"/>
                <c:pt idx="0">
                  <c:v>Fondo de Maniobra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SECTORIAL'!$AC$5:$AC$7</c:f>
              <c:strCache>
                <c:ptCount val="3"/>
                <c:pt idx="0">
                  <c:v>Activo</c:v>
                </c:pt>
                <c:pt idx="1">
                  <c:v>FM</c:v>
                </c:pt>
                <c:pt idx="2">
                  <c:v>PN + Pasivo</c:v>
                </c:pt>
              </c:strCache>
            </c:strRef>
          </c:cat>
          <c:val>
            <c:numRef>
              <c:f>'COMPARATIVA SECTORIAL'!$AJ$5:$AJ$7</c:f>
              <c:numCache>
                <c:formatCode>#,##0</c:formatCode>
                <c:ptCount val="3"/>
                <c:pt idx="0" formatCode="General">
                  <c:v>0</c:v>
                </c:pt>
                <c:pt idx="1">
                  <c:v>406341</c:v>
                </c:pt>
                <c:pt idx="2" formatCode="General">
                  <c:v>0</c:v>
                </c:pt>
              </c:numCache>
            </c:numRef>
          </c:val>
          <c:extLst>
            <c:ext xmlns:c16="http://schemas.microsoft.com/office/drawing/2014/chart" uri="{C3380CC4-5D6E-409C-BE32-E72D297353CC}">
              <c16:uniqueId val="{0000000C-B4DE-47C2-8DA4-4EA7B83207D6}"/>
            </c:ext>
          </c:extLst>
        </c:ser>
        <c:dLbls>
          <c:showLegendKey val="0"/>
          <c:showVal val="0"/>
          <c:showCatName val="0"/>
          <c:showSerName val="0"/>
          <c:showPercent val="0"/>
          <c:showBubbleSize val="0"/>
        </c:dLbls>
        <c:gapWidth val="150"/>
        <c:overlap val="100"/>
        <c:axId val="303860232"/>
        <c:axId val="20650503"/>
      </c:barChart>
      <c:catAx>
        <c:axId val="30386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0503"/>
        <c:crosses val="autoZero"/>
        <c:auto val="1"/>
        <c:lblAlgn val="ctr"/>
        <c:lblOffset val="100"/>
        <c:noMultiLvlLbl val="0"/>
      </c:catAx>
      <c:valAx>
        <c:axId val="20650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0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ACERINOX — 2022</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barChart>
        <c:barDir val="col"/>
        <c:grouping val="stacked"/>
        <c:varyColors val="0"/>
        <c:ser>
          <c:idx val="0"/>
          <c:order val="0"/>
          <c:tx>
            <c:strRef>
              <c:f>'COMPARATIVA SECTORIAL'!$AD$11</c:f>
              <c:strCache>
                <c:ptCount val="1"/>
                <c:pt idx="0">
                  <c:v>Pasivo C</c:v>
                </c:pt>
              </c:strCache>
            </c:strRef>
          </c:tx>
          <c:spPr>
            <a:solidFill>
              <a:srgbClr val="A9D1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SECTORIAL'!$AC$12:$AC$14</c:f>
              <c:strCache>
                <c:ptCount val="3"/>
                <c:pt idx="0">
                  <c:v>Activo</c:v>
                </c:pt>
                <c:pt idx="1">
                  <c:v>FM</c:v>
                </c:pt>
                <c:pt idx="2">
                  <c:v>PN + Pasivo</c:v>
                </c:pt>
              </c:strCache>
            </c:strRef>
          </c:cat>
          <c:val>
            <c:numRef>
              <c:f>'COMPARATIVA SECTORIAL'!$AD$12:$AD$14</c:f>
              <c:numCache>
                <c:formatCode>General</c:formatCode>
                <c:ptCount val="3"/>
                <c:pt idx="0">
                  <c:v>0</c:v>
                </c:pt>
                <c:pt idx="1">
                  <c:v>0</c:v>
                </c:pt>
                <c:pt idx="2" formatCode="#,##0">
                  <c:v>893250</c:v>
                </c:pt>
              </c:numCache>
            </c:numRef>
          </c:val>
          <c:extLst>
            <c:ext xmlns:c16="http://schemas.microsoft.com/office/drawing/2014/chart" uri="{C3380CC4-5D6E-409C-BE32-E72D297353CC}">
              <c16:uniqueId val="{00000000-9516-4D9D-A871-D18E2DC187A6}"/>
            </c:ext>
          </c:extLst>
        </c:ser>
        <c:ser>
          <c:idx val="1"/>
          <c:order val="1"/>
          <c:tx>
            <c:strRef>
              <c:f>'COMPARATIVA SECTORIAL'!$AE$11</c:f>
              <c:strCache>
                <c:ptCount val="1"/>
                <c:pt idx="0">
                  <c:v>Pasivo NC</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SECTORIAL'!$AC$12:$AC$14</c:f>
              <c:strCache>
                <c:ptCount val="3"/>
                <c:pt idx="0">
                  <c:v>Activo</c:v>
                </c:pt>
                <c:pt idx="1">
                  <c:v>FM</c:v>
                </c:pt>
                <c:pt idx="2">
                  <c:v>PN + Pasivo</c:v>
                </c:pt>
              </c:strCache>
            </c:strRef>
          </c:cat>
          <c:val>
            <c:numRef>
              <c:f>'COMPARATIVA SECTORIAL'!$AE$12:$AE$14</c:f>
              <c:numCache>
                <c:formatCode>General</c:formatCode>
                <c:ptCount val="3"/>
                <c:pt idx="0">
                  <c:v>0</c:v>
                </c:pt>
                <c:pt idx="1">
                  <c:v>0</c:v>
                </c:pt>
                <c:pt idx="2" formatCode="#,##0">
                  <c:v>57796</c:v>
                </c:pt>
              </c:numCache>
            </c:numRef>
          </c:val>
          <c:extLst>
            <c:ext xmlns:c16="http://schemas.microsoft.com/office/drawing/2014/chart" uri="{C3380CC4-5D6E-409C-BE32-E72D297353CC}">
              <c16:uniqueId val="{00000002-9516-4D9D-A871-D18E2DC187A6}"/>
            </c:ext>
          </c:extLst>
        </c:ser>
        <c:ser>
          <c:idx val="2"/>
          <c:order val="2"/>
          <c:tx>
            <c:strRef>
              <c:f>'COMPARATIVA SECTORIAL'!$AF$11</c:f>
              <c:strCache>
                <c:ptCount val="1"/>
                <c:pt idx="0">
                  <c:v>Patrimonio Neto</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SECTORIAL'!$AC$12:$AC$14</c:f>
              <c:strCache>
                <c:ptCount val="3"/>
                <c:pt idx="0">
                  <c:v>Activo</c:v>
                </c:pt>
                <c:pt idx="1">
                  <c:v>FM</c:v>
                </c:pt>
                <c:pt idx="2">
                  <c:v>PN + Pasivo</c:v>
                </c:pt>
              </c:strCache>
            </c:strRef>
          </c:cat>
          <c:val>
            <c:numRef>
              <c:f>'COMPARATIVA SECTORIAL'!$AF$12:$AF$14</c:f>
              <c:numCache>
                <c:formatCode>General</c:formatCode>
                <c:ptCount val="3"/>
                <c:pt idx="0">
                  <c:v>0</c:v>
                </c:pt>
                <c:pt idx="1">
                  <c:v>0</c:v>
                </c:pt>
                <c:pt idx="2" formatCode="#,##0">
                  <c:v>242867</c:v>
                </c:pt>
              </c:numCache>
            </c:numRef>
          </c:val>
          <c:extLst>
            <c:ext xmlns:c16="http://schemas.microsoft.com/office/drawing/2014/chart" uri="{C3380CC4-5D6E-409C-BE32-E72D297353CC}">
              <c16:uniqueId val="{00000004-9516-4D9D-A871-D18E2DC187A6}"/>
            </c:ext>
          </c:extLst>
        </c:ser>
        <c:ser>
          <c:idx val="3"/>
          <c:order val="3"/>
          <c:tx>
            <c:strRef>
              <c:f>'COMPARATIVA SECTORIAL'!$AG$11</c:f>
              <c:strCache>
                <c:ptCount val="1"/>
                <c:pt idx="0">
                  <c:v>Activo Corriente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SECTORIAL'!$AC$12:$AC$14</c:f>
              <c:strCache>
                <c:ptCount val="3"/>
                <c:pt idx="0">
                  <c:v>Activo</c:v>
                </c:pt>
                <c:pt idx="1">
                  <c:v>FM</c:v>
                </c:pt>
                <c:pt idx="2">
                  <c:v>PN + Pasivo</c:v>
                </c:pt>
              </c:strCache>
            </c:strRef>
          </c:cat>
          <c:val>
            <c:numRef>
              <c:f>'COMPARATIVA SECTORIAL'!$AG$12:$AG$14</c:f>
              <c:numCache>
                <c:formatCode>General</c:formatCode>
                <c:ptCount val="3"/>
                <c:pt idx="0" formatCode="#,##0">
                  <c:v>738462</c:v>
                </c:pt>
                <c:pt idx="1">
                  <c:v>0</c:v>
                </c:pt>
                <c:pt idx="2">
                  <c:v>0</c:v>
                </c:pt>
              </c:numCache>
            </c:numRef>
          </c:val>
          <c:extLst>
            <c:ext xmlns:c16="http://schemas.microsoft.com/office/drawing/2014/chart" uri="{C3380CC4-5D6E-409C-BE32-E72D297353CC}">
              <c16:uniqueId val="{00000006-9516-4D9D-A871-D18E2DC187A6}"/>
            </c:ext>
          </c:extLst>
        </c:ser>
        <c:ser>
          <c:idx val="4"/>
          <c:order val="4"/>
          <c:tx>
            <c:strRef>
              <c:f>'COMPARATIVA SECTORIAL'!$AH$11</c:f>
              <c:strCache>
                <c:ptCount val="1"/>
                <c:pt idx="0">
                  <c:v>Activo No Corriente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SECTORIAL'!$AC$12:$AC$14</c:f>
              <c:strCache>
                <c:ptCount val="3"/>
                <c:pt idx="0">
                  <c:v>Activo</c:v>
                </c:pt>
                <c:pt idx="1">
                  <c:v>FM</c:v>
                </c:pt>
                <c:pt idx="2">
                  <c:v>PN + Pasivo</c:v>
                </c:pt>
              </c:strCache>
            </c:strRef>
          </c:cat>
          <c:val>
            <c:numRef>
              <c:f>'COMPARATIVA SECTORIAL'!$AH$12:$AH$14</c:f>
              <c:numCache>
                <c:formatCode>General</c:formatCode>
                <c:ptCount val="3"/>
                <c:pt idx="0" formatCode="#,##0">
                  <c:v>455451</c:v>
                </c:pt>
                <c:pt idx="1">
                  <c:v>0</c:v>
                </c:pt>
                <c:pt idx="2">
                  <c:v>0</c:v>
                </c:pt>
              </c:numCache>
            </c:numRef>
          </c:val>
          <c:extLst>
            <c:ext xmlns:c16="http://schemas.microsoft.com/office/drawing/2014/chart" uri="{C3380CC4-5D6E-409C-BE32-E72D297353CC}">
              <c16:uniqueId val="{00000008-9516-4D9D-A871-D18E2DC187A6}"/>
            </c:ext>
          </c:extLst>
        </c:ser>
        <c:ser>
          <c:idx val="5"/>
          <c:order val="5"/>
          <c:tx>
            <c:strRef>
              <c:f>'COMPARATIVA SECTORIAL'!$AI$11</c:f>
              <c:strCache>
                <c:ptCount val="1"/>
                <c:pt idx="0">
                  <c:v>Base FM (oculta)</c:v>
                </c:pt>
              </c:strCache>
            </c:strRef>
          </c:tx>
          <c:spPr>
            <a:noFill/>
            <a:ln>
              <a:solidFill>
                <a:srgbClr val="FFFFFF"/>
              </a:solidFill>
              <a:prstDash val="solid"/>
            </a:ln>
            <a:effectLst/>
          </c:spPr>
          <c:invertIfNegative val="0"/>
          <c:cat>
            <c:strRef>
              <c:f>'COMPARATIVA SECTORIAL'!$AC$12:$AC$14</c:f>
              <c:strCache>
                <c:ptCount val="3"/>
                <c:pt idx="0">
                  <c:v>Activo</c:v>
                </c:pt>
                <c:pt idx="1">
                  <c:v>FM</c:v>
                </c:pt>
                <c:pt idx="2">
                  <c:v>PN + Pasivo</c:v>
                </c:pt>
              </c:strCache>
            </c:strRef>
          </c:cat>
          <c:val>
            <c:numRef>
              <c:f>'COMPARATIVA SECTORIAL'!$AI$12:$AI$14</c:f>
              <c:numCache>
                <c:formatCode>#,##0</c:formatCode>
                <c:ptCount val="3"/>
                <c:pt idx="0" formatCode="General">
                  <c:v>0</c:v>
                </c:pt>
                <c:pt idx="1">
                  <c:v>300663</c:v>
                </c:pt>
                <c:pt idx="2" formatCode="General">
                  <c:v>0</c:v>
                </c:pt>
              </c:numCache>
            </c:numRef>
          </c:val>
          <c:extLst>
            <c:ext xmlns:c16="http://schemas.microsoft.com/office/drawing/2014/chart" uri="{C3380CC4-5D6E-409C-BE32-E72D297353CC}">
              <c16:uniqueId val="{0000000A-9516-4D9D-A871-D18E2DC187A6}"/>
            </c:ext>
          </c:extLst>
        </c:ser>
        <c:ser>
          <c:idx val="6"/>
          <c:order val="6"/>
          <c:tx>
            <c:strRef>
              <c:f>'COMPARATIVA SECTORIAL'!$AJ$11</c:f>
              <c:strCache>
                <c:ptCount val="1"/>
                <c:pt idx="0">
                  <c:v>Fondo de Maniobra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SECTORIAL'!$AC$12:$AC$14</c:f>
              <c:strCache>
                <c:ptCount val="3"/>
                <c:pt idx="0">
                  <c:v>Activo</c:v>
                </c:pt>
                <c:pt idx="1">
                  <c:v>FM</c:v>
                </c:pt>
                <c:pt idx="2">
                  <c:v>PN + Pasivo</c:v>
                </c:pt>
              </c:strCache>
            </c:strRef>
          </c:cat>
          <c:val>
            <c:numRef>
              <c:f>'COMPARATIVA SECTORIAL'!$AJ$12:$AJ$14</c:f>
              <c:numCache>
                <c:formatCode>#,##0</c:formatCode>
                <c:ptCount val="3"/>
                <c:pt idx="0" formatCode="General">
                  <c:v>0</c:v>
                </c:pt>
                <c:pt idx="1">
                  <c:v>154788</c:v>
                </c:pt>
                <c:pt idx="2" formatCode="General">
                  <c:v>0</c:v>
                </c:pt>
              </c:numCache>
            </c:numRef>
          </c:val>
          <c:extLst>
            <c:ext xmlns:c16="http://schemas.microsoft.com/office/drawing/2014/chart" uri="{C3380CC4-5D6E-409C-BE32-E72D297353CC}">
              <c16:uniqueId val="{0000000C-9516-4D9D-A871-D18E2DC187A6}"/>
            </c:ext>
          </c:extLst>
        </c:ser>
        <c:dLbls>
          <c:showLegendKey val="0"/>
          <c:showVal val="0"/>
          <c:showCatName val="0"/>
          <c:showSerName val="0"/>
          <c:showPercent val="0"/>
          <c:showBubbleSize val="0"/>
        </c:dLbls>
        <c:gapWidth val="150"/>
        <c:overlap val="100"/>
        <c:axId val="566671367"/>
        <c:axId val="566772743"/>
      </c:barChart>
      <c:catAx>
        <c:axId val="566671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772743"/>
        <c:crosses val="autoZero"/>
        <c:auto val="1"/>
        <c:lblAlgn val="ctr"/>
        <c:lblOffset val="100"/>
        <c:noMultiLvlLbl val="0"/>
      </c:catAx>
      <c:valAx>
        <c:axId val="566772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71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SECTOR — 2022</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barChart>
        <c:barDir val="col"/>
        <c:grouping val="stacked"/>
        <c:varyColors val="0"/>
        <c:ser>
          <c:idx val="0"/>
          <c:order val="0"/>
          <c:tx>
            <c:strRef>
              <c:f>'COMPARATIVA SECTORIAL'!$AD$18</c:f>
              <c:strCache>
                <c:ptCount val="1"/>
                <c:pt idx="0">
                  <c:v>Pasivo C</c:v>
                </c:pt>
              </c:strCache>
            </c:strRef>
          </c:tx>
          <c:spPr>
            <a:solidFill>
              <a:srgbClr val="A9D1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SECTORIAL'!$AC$19:$AC$21</c:f>
              <c:strCache>
                <c:ptCount val="3"/>
                <c:pt idx="0">
                  <c:v>Activo</c:v>
                </c:pt>
                <c:pt idx="1">
                  <c:v>FM</c:v>
                </c:pt>
                <c:pt idx="2">
                  <c:v>PN + Pasivo</c:v>
                </c:pt>
              </c:strCache>
            </c:strRef>
          </c:cat>
          <c:val>
            <c:numRef>
              <c:f>'COMPARATIVA SECTORIAL'!$AD$19:$AD$21</c:f>
              <c:numCache>
                <c:formatCode>General</c:formatCode>
                <c:ptCount val="3"/>
                <c:pt idx="0">
                  <c:v>0</c:v>
                </c:pt>
                <c:pt idx="1">
                  <c:v>0</c:v>
                </c:pt>
                <c:pt idx="2" formatCode="#,##0">
                  <c:v>423500</c:v>
                </c:pt>
              </c:numCache>
            </c:numRef>
          </c:val>
          <c:extLst>
            <c:ext xmlns:c16="http://schemas.microsoft.com/office/drawing/2014/chart" uri="{C3380CC4-5D6E-409C-BE32-E72D297353CC}">
              <c16:uniqueId val="{00000000-CF6D-48DA-A3C5-8B22EE2E0854}"/>
            </c:ext>
          </c:extLst>
        </c:ser>
        <c:ser>
          <c:idx val="1"/>
          <c:order val="1"/>
          <c:tx>
            <c:strRef>
              <c:f>'COMPARATIVA SECTORIAL'!$AE$18</c:f>
              <c:strCache>
                <c:ptCount val="1"/>
                <c:pt idx="0">
                  <c:v>Pasivo NC</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SECTORIAL'!$AC$19:$AC$21</c:f>
              <c:strCache>
                <c:ptCount val="3"/>
                <c:pt idx="0">
                  <c:v>Activo</c:v>
                </c:pt>
                <c:pt idx="1">
                  <c:v>FM</c:v>
                </c:pt>
                <c:pt idx="2">
                  <c:v>PN + Pasivo</c:v>
                </c:pt>
              </c:strCache>
            </c:strRef>
          </c:cat>
          <c:val>
            <c:numRef>
              <c:f>'COMPARATIVA SECTORIAL'!$AE$19:$AE$21</c:f>
              <c:numCache>
                <c:formatCode>General</c:formatCode>
                <c:ptCount val="3"/>
                <c:pt idx="0">
                  <c:v>0</c:v>
                </c:pt>
                <c:pt idx="1">
                  <c:v>0</c:v>
                </c:pt>
                <c:pt idx="2" formatCode="#,##0">
                  <c:v>99822</c:v>
                </c:pt>
              </c:numCache>
            </c:numRef>
          </c:val>
          <c:extLst>
            <c:ext xmlns:c16="http://schemas.microsoft.com/office/drawing/2014/chart" uri="{C3380CC4-5D6E-409C-BE32-E72D297353CC}">
              <c16:uniqueId val="{00000002-CF6D-48DA-A3C5-8B22EE2E0854}"/>
            </c:ext>
          </c:extLst>
        </c:ser>
        <c:ser>
          <c:idx val="2"/>
          <c:order val="2"/>
          <c:tx>
            <c:strRef>
              <c:f>'COMPARATIVA SECTORIAL'!$AF$18</c:f>
              <c:strCache>
                <c:ptCount val="1"/>
                <c:pt idx="0">
                  <c:v>Patrimonio Neto</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SECTORIAL'!$AC$19:$AC$21</c:f>
              <c:strCache>
                <c:ptCount val="3"/>
                <c:pt idx="0">
                  <c:v>Activo</c:v>
                </c:pt>
                <c:pt idx="1">
                  <c:v>FM</c:v>
                </c:pt>
                <c:pt idx="2">
                  <c:v>PN + Pasivo</c:v>
                </c:pt>
              </c:strCache>
            </c:strRef>
          </c:cat>
          <c:val>
            <c:numRef>
              <c:f>'COMPARATIVA SECTORIAL'!$AF$19:$AF$21</c:f>
              <c:numCache>
                <c:formatCode>General</c:formatCode>
                <c:ptCount val="3"/>
                <c:pt idx="0">
                  <c:v>0</c:v>
                </c:pt>
                <c:pt idx="1">
                  <c:v>0</c:v>
                </c:pt>
                <c:pt idx="2" formatCode="#,##0">
                  <c:v>240223</c:v>
                </c:pt>
              </c:numCache>
            </c:numRef>
          </c:val>
          <c:extLst>
            <c:ext xmlns:c16="http://schemas.microsoft.com/office/drawing/2014/chart" uri="{C3380CC4-5D6E-409C-BE32-E72D297353CC}">
              <c16:uniqueId val="{00000004-CF6D-48DA-A3C5-8B22EE2E0854}"/>
            </c:ext>
          </c:extLst>
        </c:ser>
        <c:ser>
          <c:idx val="3"/>
          <c:order val="3"/>
          <c:tx>
            <c:strRef>
              <c:f>'COMPARATIVA SECTORIAL'!$AG$18</c:f>
              <c:strCache>
                <c:ptCount val="1"/>
                <c:pt idx="0">
                  <c:v>Activo Corriente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SECTORIAL'!$AC$19:$AC$21</c:f>
              <c:strCache>
                <c:ptCount val="3"/>
                <c:pt idx="0">
                  <c:v>Activo</c:v>
                </c:pt>
                <c:pt idx="1">
                  <c:v>FM</c:v>
                </c:pt>
                <c:pt idx="2">
                  <c:v>PN + Pasivo</c:v>
                </c:pt>
              </c:strCache>
            </c:strRef>
          </c:cat>
          <c:val>
            <c:numRef>
              <c:f>'COMPARATIVA SECTORIAL'!$AG$19:$AG$21</c:f>
              <c:numCache>
                <c:formatCode>General</c:formatCode>
                <c:ptCount val="3"/>
                <c:pt idx="0" formatCode="#,##0">
                  <c:v>404873</c:v>
                </c:pt>
                <c:pt idx="1">
                  <c:v>0</c:v>
                </c:pt>
                <c:pt idx="2">
                  <c:v>0</c:v>
                </c:pt>
              </c:numCache>
            </c:numRef>
          </c:val>
          <c:extLst>
            <c:ext xmlns:c16="http://schemas.microsoft.com/office/drawing/2014/chart" uri="{C3380CC4-5D6E-409C-BE32-E72D297353CC}">
              <c16:uniqueId val="{00000006-CF6D-48DA-A3C5-8B22EE2E0854}"/>
            </c:ext>
          </c:extLst>
        </c:ser>
        <c:ser>
          <c:idx val="4"/>
          <c:order val="4"/>
          <c:tx>
            <c:strRef>
              <c:f>'COMPARATIVA SECTORIAL'!$AH$18</c:f>
              <c:strCache>
                <c:ptCount val="1"/>
                <c:pt idx="0">
                  <c:v>Activo No Corriente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SECTORIAL'!$AC$19:$AC$21</c:f>
              <c:strCache>
                <c:ptCount val="3"/>
                <c:pt idx="0">
                  <c:v>Activo</c:v>
                </c:pt>
                <c:pt idx="1">
                  <c:v>FM</c:v>
                </c:pt>
                <c:pt idx="2">
                  <c:v>PN + Pasivo</c:v>
                </c:pt>
              </c:strCache>
            </c:strRef>
          </c:cat>
          <c:val>
            <c:numRef>
              <c:f>'COMPARATIVA SECTORIAL'!$AH$19:$AH$21</c:f>
              <c:numCache>
                <c:formatCode>General</c:formatCode>
                <c:ptCount val="3"/>
                <c:pt idx="0" formatCode="#,##0">
                  <c:v>358671</c:v>
                </c:pt>
                <c:pt idx="1">
                  <c:v>0</c:v>
                </c:pt>
                <c:pt idx="2">
                  <c:v>0</c:v>
                </c:pt>
              </c:numCache>
            </c:numRef>
          </c:val>
          <c:extLst>
            <c:ext xmlns:c16="http://schemas.microsoft.com/office/drawing/2014/chart" uri="{C3380CC4-5D6E-409C-BE32-E72D297353CC}">
              <c16:uniqueId val="{00000008-CF6D-48DA-A3C5-8B22EE2E0854}"/>
            </c:ext>
          </c:extLst>
        </c:ser>
        <c:ser>
          <c:idx val="5"/>
          <c:order val="5"/>
          <c:tx>
            <c:strRef>
              <c:f>'COMPARATIVA SECTORIAL'!$AI$18</c:f>
              <c:strCache>
                <c:ptCount val="1"/>
                <c:pt idx="0">
                  <c:v>Base FM (oculta)</c:v>
                </c:pt>
              </c:strCache>
            </c:strRef>
          </c:tx>
          <c:spPr>
            <a:noFill/>
            <a:ln>
              <a:solidFill>
                <a:srgbClr val="FFFFFF"/>
              </a:solidFill>
              <a:prstDash val="solid"/>
            </a:ln>
            <a:effectLst/>
          </c:spPr>
          <c:invertIfNegative val="0"/>
          <c:cat>
            <c:strRef>
              <c:f>'COMPARATIVA SECTORIAL'!$AC$19:$AC$21</c:f>
              <c:strCache>
                <c:ptCount val="3"/>
                <c:pt idx="0">
                  <c:v>Activo</c:v>
                </c:pt>
                <c:pt idx="1">
                  <c:v>FM</c:v>
                </c:pt>
                <c:pt idx="2">
                  <c:v>PN + Pasivo</c:v>
                </c:pt>
              </c:strCache>
            </c:strRef>
          </c:cat>
          <c:val>
            <c:numRef>
              <c:f>'COMPARATIVA SECTORIAL'!$AI$19:$AI$21</c:f>
              <c:numCache>
                <c:formatCode>#,##0</c:formatCode>
                <c:ptCount val="3"/>
                <c:pt idx="0" formatCode="General">
                  <c:v>0</c:v>
                </c:pt>
                <c:pt idx="1">
                  <c:v>340045</c:v>
                </c:pt>
                <c:pt idx="2" formatCode="General">
                  <c:v>0</c:v>
                </c:pt>
              </c:numCache>
            </c:numRef>
          </c:val>
          <c:extLst>
            <c:ext xmlns:c16="http://schemas.microsoft.com/office/drawing/2014/chart" uri="{C3380CC4-5D6E-409C-BE32-E72D297353CC}">
              <c16:uniqueId val="{0000000A-CF6D-48DA-A3C5-8B22EE2E0854}"/>
            </c:ext>
          </c:extLst>
        </c:ser>
        <c:ser>
          <c:idx val="6"/>
          <c:order val="6"/>
          <c:tx>
            <c:strRef>
              <c:f>'COMPARATIVA SECTORIAL'!$AJ$18</c:f>
              <c:strCache>
                <c:ptCount val="1"/>
                <c:pt idx="0">
                  <c:v>Fondo de Maniobra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SECTORIAL'!$AC$19:$AC$21</c:f>
              <c:strCache>
                <c:ptCount val="3"/>
                <c:pt idx="0">
                  <c:v>Activo</c:v>
                </c:pt>
                <c:pt idx="1">
                  <c:v>FM</c:v>
                </c:pt>
                <c:pt idx="2">
                  <c:v>PN + Pasivo</c:v>
                </c:pt>
              </c:strCache>
            </c:strRef>
          </c:cat>
          <c:val>
            <c:numRef>
              <c:f>'COMPARATIVA SECTORIAL'!$AJ$19:$AJ$21</c:f>
              <c:numCache>
                <c:formatCode>#,##0</c:formatCode>
                <c:ptCount val="3"/>
                <c:pt idx="0" formatCode="General">
                  <c:v>0</c:v>
                </c:pt>
                <c:pt idx="1">
                  <c:v>18627</c:v>
                </c:pt>
                <c:pt idx="2" formatCode="General">
                  <c:v>0</c:v>
                </c:pt>
              </c:numCache>
            </c:numRef>
          </c:val>
          <c:extLst>
            <c:ext xmlns:c16="http://schemas.microsoft.com/office/drawing/2014/chart" uri="{C3380CC4-5D6E-409C-BE32-E72D297353CC}">
              <c16:uniqueId val="{0000000C-CF6D-48DA-A3C5-8B22EE2E0854}"/>
            </c:ext>
          </c:extLst>
        </c:ser>
        <c:dLbls>
          <c:showLegendKey val="0"/>
          <c:showVal val="0"/>
          <c:showCatName val="0"/>
          <c:showSerName val="0"/>
          <c:showPercent val="0"/>
          <c:showBubbleSize val="0"/>
        </c:dLbls>
        <c:gapWidth val="150"/>
        <c:overlap val="100"/>
        <c:axId val="1397282823"/>
        <c:axId val="1397456903"/>
      </c:barChart>
      <c:catAx>
        <c:axId val="1397282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456903"/>
        <c:crosses val="autoZero"/>
        <c:auto val="1"/>
        <c:lblAlgn val="ctr"/>
        <c:lblOffset val="100"/>
        <c:noMultiLvlLbl val="0"/>
      </c:catAx>
      <c:valAx>
        <c:axId val="1397456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82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SECTOR — 2023</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barChart>
        <c:barDir val="col"/>
        <c:grouping val="stacked"/>
        <c:varyColors val="0"/>
        <c:ser>
          <c:idx val="0"/>
          <c:order val="0"/>
          <c:tx>
            <c:strRef>
              <c:f>'COMPARATIVA SECTORIAL'!$AD$25</c:f>
              <c:strCache>
                <c:ptCount val="1"/>
                <c:pt idx="0">
                  <c:v>Pasivo C</c:v>
                </c:pt>
              </c:strCache>
            </c:strRef>
          </c:tx>
          <c:spPr>
            <a:solidFill>
              <a:srgbClr val="A9D1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SECTORIAL'!$AC$26:$AC$28</c:f>
              <c:strCache>
                <c:ptCount val="3"/>
                <c:pt idx="0">
                  <c:v>Activo</c:v>
                </c:pt>
                <c:pt idx="1">
                  <c:v>FM</c:v>
                </c:pt>
                <c:pt idx="2">
                  <c:v>PN + Pasivo</c:v>
                </c:pt>
              </c:strCache>
            </c:strRef>
          </c:cat>
          <c:val>
            <c:numRef>
              <c:f>'COMPARATIVA SECTORIAL'!$AD$26:$AD$28</c:f>
              <c:numCache>
                <c:formatCode>General</c:formatCode>
                <c:ptCount val="3"/>
                <c:pt idx="0">
                  <c:v>0</c:v>
                </c:pt>
                <c:pt idx="1">
                  <c:v>0</c:v>
                </c:pt>
                <c:pt idx="2" formatCode="#,##0">
                  <c:v>436215</c:v>
                </c:pt>
              </c:numCache>
            </c:numRef>
          </c:val>
          <c:extLst>
            <c:ext xmlns:c16="http://schemas.microsoft.com/office/drawing/2014/chart" uri="{C3380CC4-5D6E-409C-BE32-E72D297353CC}">
              <c16:uniqueId val="{00000000-63DB-4BAC-BB72-EBFFD38B5910}"/>
            </c:ext>
          </c:extLst>
        </c:ser>
        <c:ser>
          <c:idx val="1"/>
          <c:order val="1"/>
          <c:tx>
            <c:strRef>
              <c:f>'COMPARATIVA SECTORIAL'!$AE$25</c:f>
              <c:strCache>
                <c:ptCount val="1"/>
                <c:pt idx="0">
                  <c:v>Pasivo NC</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SECTORIAL'!$AC$26:$AC$28</c:f>
              <c:strCache>
                <c:ptCount val="3"/>
                <c:pt idx="0">
                  <c:v>Activo</c:v>
                </c:pt>
                <c:pt idx="1">
                  <c:v>FM</c:v>
                </c:pt>
                <c:pt idx="2">
                  <c:v>PN + Pasivo</c:v>
                </c:pt>
              </c:strCache>
            </c:strRef>
          </c:cat>
          <c:val>
            <c:numRef>
              <c:f>'COMPARATIVA SECTORIAL'!$AE$26:$AE$28</c:f>
              <c:numCache>
                <c:formatCode>General</c:formatCode>
                <c:ptCount val="3"/>
                <c:pt idx="0">
                  <c:v>0</c:v>
                </c:pt>
                <c:pt idx="1">
                  <c:v>0</c:v>
                </c:pt>
                <c:pt idx="2" formatCode="#,##0">
                  <c:v>88310</c:v>
                </c:pt>
              </c:numCache>
            </c:numRef>
          </c:val>
          <c:extLst>
            <c:ext xmlns:c16="http://schemas.microsoft.com/office/drawing/2014/chart" uri="{C3380CC4-5D6E-409C-BE32-E72D297353CC}">
              <c16:uniqueId val="{00000002-63DB-4BAC-BB72-EBFFD38B5910}"/>
            </c:ext>
          </c:extLst>
        </c:ser>
        <c:ser>
          <c:idx val="2"/>
          <c:order val="2"/>
          <c:tx>
            <c:strRef>
              <c:f>'COMPARATIVA SECTORIAL'!$AF$25</c:f>
              <c:strCache>
                <c:ptCount val="1"/>
                <c:pt idx="0">
                  <c:v>Patrimonio Neto</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SECTORIAL'!$AC$26:$AC$28</c:f>
              <c:strCache>
                <c:ptCount val="3"/>
                <c:pt idx="0">
                  <c:v>Activo</c:v>
                </c:pt>
                <c:pt idx="1">
                  <c:v>FM</c:v>
                </c:pt>
                <c:pt idx="2">
                  <c:v>PN + Pasivo</c:v>
                </c:pt>
              </c:strCache>
            </c:strRef>
          </c:cat>
          <c:val>
            <c:numRef>
              <c:f>'COMPARATIVA SECTORIAL'!$AF$26:$AF$28</c:f>
              <c:numCache>
                <c:formatCode>General</c:formatCode>
                <c:ptCount val="3"/>
                <c:pt idx="0">
                  <c:v>0</c:v>
                </c:pt>
                <c:pt idx="1">
                  <c:v>0</c:v>
                </c:pt>
                <c:pt idx="2" formatCode="#,##0">
                  <c:v>234832</c:v>
                </c:pt>
              </c:numCache>
            </c:numRef>
          </c:val>
          <c:extLst>
            <c:ext xmlns:c16="http://schemas.microsoft.com/office/drawing/2014/chart" uri="{C3380CC4-5D6E-409C-BE32-E72D297353CC}">
              <c16:uniqueId val="{00000004-63DB-4BAC-BB72-EBFFD38B5910}"/>
            </c:ext>
          </c:extLst>
        </c:ser>
        <c:ser>
          <c:idx val="3"/>
          <c:order val="3"/>
          <c:tx>
            <c:strRef>
              <c:f>'COMPARATIVA SECTORIAL'!$AG$25</c:f>
              <c:strCache>
                <c:ptCount val="1"/>
                <c:pt idx="0">
                  <c:v>Activo Corriente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SECTORIAL'!$AC$26:$AC$28</c:f>
              <c:strCache>
                <c:ptCount val="3"/>
                <c:pt idx="0">
                  <c:v>Activo</c:v>
                </c:pt>
                <c:pt idx="1">
                  <c:v>FM</c:v>
                </c:pt>
                <c:pt idx="2">
                  <c:v>PN + Pasivo</c:v>
                </c:pt>
              </c:strCache>
            </c:strRef>
          </c:cat>
          <c:val>
            <c:numRef>
              <c:f>'COMPARATIVA SECTORIAL'!$AG$26:$AG$28</c:f>
              <c:numCache>
                <c:formatCode>General</c:formatCode>
                <c:ptCount val="3"/>
                <c:pt idx="0" formatCode="#,##0">
                  <c:v>359897</c:v>
                </c:pt>
                <c:pt idx="1">
                  <c:v>0</c:v>
                </c:pt>
                <c:pt idx="2">
                  <c:v>0</c:v>
                </c:pt>
              </c:numCache>
            </c:numRef>
          </c:val>
          <c:extLst>
            <c:ext xmlns:c16="http://schemas.microsoft.com/office/drawing/2014/chart" uri="{C3380CC4-5D6E-409C-BE32-E72D297353CC}">
              <c16:uniqueId val="{00000006-63DB-4BAC-BB72-EBFFD38B5910}"/>
            </c:ext>
          </c:extLst>
        </c:ser>
        <c:ser>
          <c:idx val="4"/>
          <c:order val="4"/>
          <c:tx>
            <c:strRef>
              <c:f>'COMPARATIVA SECTORIAL'!$AH$25</c:f>
              <c:strCache>
                <c:ptCount val="1"/>
                <c:pt idx="0">
                  <c:v>Activo No Corriente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SECTORIAL'!$AC$26:$AC$28</c:f>
              <c:strCache>
                <c:ptCount val="3"/>
                <c:pt idx="0">
                  <c:v>Activo</c:v>
                </c:pt>
                <c:pt idx="1">
                  <c:v>FM</c:v>
                </c:pt>
                <c:pt idx="2">
                  <c:v>PN + Pasivo</c:v>
                </c:pt>
              </c:strCache>
            </c:strRef>
          </c:cat>
          <c:val>
            <c:numRef>
              <c:f>'COMPARATIVA SECTORIAL'!$AH$26:$AH$28</c:f>
              <c:numCache>
                <c:formatCode>General</c:formatCode>
                <c:ptCount val="3"/>
                <c:pt idx="0" formatCode="#,##0">
                  <c:v>399459</c:v>
                </c:pt>
                <c:pt idx="1">
                  <c:v>0</c:v>
                </c:pt>
                <c:pt idx="2">
                  <c:v>0</c:v>
                </c:pt>
              </c:numCache>
            </c:numRef>
          </c:val>
          <c:extLst>
            <c:ext xmlns:c16="http://schemas.microsoft.com/office/drawing/2014/chart" uri="{C3380CC4-5D6E-409C-BE32-E72D297353CC}">
              <c16:uniqueId val="{00000008-63DB-4BAC-BB72-EBFFD38B5910}"/>
            </c:ext>
          </c:extLst>
        </c:ser>
        <c:ser>
          <c:idx val="5"/>
          <c:order val="5"/>
          <c:tx>
            <c:strRef>
              <c:f>'COMPARATIVA SECTORIAL'!$AI$25</c:f>
              <c:strCache>
                <c:ptCount val="1"/>
                <c:pt idx="0">
                  <c:v>Base FM (oculta)</c:v>
                </c:pt>
              </c:strCache>
            </c:strRef>
          </c:tx>
          <c:spPr>
            <a:noFill/>
            <a:ln>
              <a:solidFill>
                <a:srgbClr val="FFFFFF"/>
              </a:solidFill>
              <a:prstDash val="solid"/>
            </a:ln>
            <a:effectLst/>
          </c:spPr>
          <c:invertIfNegative val="0"/>
          <c:cat>
            <c:strRef>
              <c:f>'COMPARATIVA SECTORIAL'!$AC$26:$AC$28</c:f>
              <c:strCache>
                <c:ptCount val="3"/>
                <c:pt idx="0">
                  <c:v>Activo</c:v>
                </c:pt>
                <c:pt idx="1">
                  <c:v>FM</c:v>
                </c:pt>
                <c:pt idx="2">
                  <c:v>PN + Pasivo</c:v>
                </c:pt>
              </c:strCache>
            </c:strRef>
          </c:cat>
          <c:val>
            <c:numRef>
              <c:f>'COMPARATIVA SECTORIAL'!$AI$26:$AI$28</c:f>
              <c:numCache>
                <c:formatCode>#,##0</c:formatCode>
                <c:ptCount val="3"/>
                <c:pt idx="0" formatCode="General">
                  <c:v>0</c:v>
                </c:pt>
                <c:pt idx="1">
                  <c:v>323142</c:v>
                </c:pt>
                <c:pt idx="2" formatCode="General">
                  <c:v>0</c:v>
                </c:pt>
              </c:numCache>
            </c:numRef>
          </c:val>
          <c:extLst>
            <c:ext xmlns:c16="http://schemas.microsoft.com/office/drawing/2014/chart" uri="{C3380CC4-5D6E-409C-BE32-E72D297353CC}">
              <c16:uniqueId val="{0000000A-63DB-4BAC-BB72-EBFFD38B5910}"/>
            </c:ext>
          </c:extLst>
        </c:ser>
        <c:ser>
          <c:idx val="6"/>
          <c:order val="6"/>
          <c:tx>
            <c:strRef>
              <c:f>'COMPARATIVA SECTORIAL'!$AJ$25</c:f>
              <c:strCache>
                <c:ptCount val="1"/>
                <c:pt idx="0">
                  <c:v>Fondo de Maniobra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'COMPARATIVA SECTORIAL'!$AC$26:$AC$28</c:f>
              <c:strCache>
                <c:ptCount val="3"/>
                <c:pt idx="0">
                  <c:v>Activo</c:v>
                </c:pt>
                <c:pt idx="1">
                  <c:v>FM</c:v>
                </c:pt>
                <c:pt idx="2">
                  <c:v>PN + Pasivo</c:v>
                </c:pt>
              </c:strCache>
            </c:strRef>
          </c:cat>
          <c:val>
            <c:numRef>
              <c:f>'COMPARATIVA SECTORIAL'!$AJ$26:$AJ$28</c:f>
              <c:numCache>
                <c:formatCode>#,##0</c:formatCode>
                <c:ptCount val="3"/>
                <c:pt idx="0" formatCode="General">
                  <c:v>0</c:v>
                </c:pt>
                <c:pt idx="1">
                  <c:v>76318</c:v>
                </c:pt>
                <c:pt idx="2" formatCode="General">
                  <c:v>0</c:v>
                </c:pt>
              </c:numCache>
            </c:numRef>
          </c:val>
          <c:extLst>
            <c:ext xmlns:c16="http://schemas.microsoft.com/office/drawing/2014/chart" uri="{C3380CC4-5D6E-409C-BE32-E72D297353CC}">
              <c16:uniqueId val="{0000000C-63DB-4BAC-BB72-EBFFD38B5910}"/>
            </c:ext>
          </c:extLst>
        </c:ser>
        <c:dLbls>
          <c:showLegendKey val="0"/>
          <c:showVal val="0"/>
          <c:showCatName val="0"/>
          <c:showSerName val="0"/>
          <c:showPercent val="0"/>
          <c:showBubbleSize val="0"/>
        </c:dLbls>
        <c:gapWidth val="150"/>
        <c:overlap val="100"/>
        <c:axId val="1438840327"/>
        <c:axId val="1438842375"/>
      </c:barChart>
      <c:catAx>
        <c:axId val="1438840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42375"/>
        <c:crosses val="autoZero"/>
        <c:auto val="1"/>
        <c:lblAlgn val="ctr"/>
        <c:lblOffset val="100"/>
        <c:noMultiLvlLbl val="0"/>
      </c:catAx>
      <c:valAx>
        <c:axId val="1438842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40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Composición Patrimonial</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barChart>
        <c:barDir val="col"/>
        <c:grouping val="stacked"/>
        <c:varyColors val="0"/>
        <c:ser>
          <c:idx val="4"/>
          <c:order val="0"/>
          <c:tx>
            <c:strRef>
              <c:f>'ANÁLISIS PATRIMONIAL'!$M$3</c:f>
              <c:strCache>
                <c:ptCount val="1"/>
                <c:pt idx="0">
                  <c:v>PC</c:v>
                </c:pt>
              </c:strCache>
            </c:strRef>
          </c:tx>
          <c:spPr>
            <a:solidFill>
              <a:srgbClr val="B4C6E7"/>
            </a:solidFill>
            <a:ln>
              <a:noFill/>
            </a:ln>
            <a:effectLst/>
          </c:spPr>
          <c:invertIfNegative val="0"/>
          <c:cat>
            <c:strRef>
              <c:f>'ANÁLISIS PATRIMONIAL'!$H$4:$H$7</c:f>
              <c:strCache>
                <c:ptCount val="4"/>
                <c:pt idx="0">
                  <c:v>Activo 2022</c:v>
                </c:pt>
                <c:pt idx="1">
                  <c:v>PN+P 2022</c:v>
                </c:pt>
                <c:pt idx="2">
                  <c:v>Activo 2023</c:v>
                </c:pt>
                <c:pt idx="3">
                  <c:v>PN+P 2023</c:v>
                </c:pt>
              </c:strCache>
            </c:strRef>
          </c:cat>
          <c:val>
            <c:numRef>
              <c:f>'ANÁLISIS PATRIMONIAL'!$M$4:$M$7</c:f>
              <c:numCache>
                <c:formatCode>#,##0;\(#,##0\);"-"</c:formatCode>
                <c:ptCount val="4"/>
                <c:pt idx="0" formatCode="General">
                  <c:v>0</c:v>
                </c:pt>
                <c:pt idx="1">
                  <c:v>893250</c:v>
                </c:pt>
                <c:pt idx="2" formatCode="General">
                  <c:v>0</c:v>
                </c:pt>
                <c:pt idx="3">
                  <c:v>1031409</c:v>
                </c:pt>
              </c:numCache>
            </c:numRef>
          </c:val>
          <c:extLst>
            <c:ext xmlns:c16="http://schemas.microsoft.com/office/drawing/2014/chart" uri="{C3380CC4-5D6E-409C-BE32-E72D297353CC}">
              <c16:uniqueId val="{00000008-16DE-452A-9B2B-A111FC46036B}"/>
            </c:ext>
          </c:extLst>
        </c:ser>
        <c:ser>
          <c:idx val="3"/>
          <c:order val="1"/>
          <c:tx>
            <c:strRef>
              <c:f>'ANÁLISIS PATRIMONIAL'!$L$3</c:f>
              <c:strCache>
                <c:ptCount val="1"/>
                <c:pt idx="0">
                  <c:v>PNC</c:v>
                </c:pt>
              </c:strCache>
            </c:strRef>
          </c:tx>
          <c:spPr>
            <a:solidFill>
              <a:srgbClr val="8FAADC"/>
            </a:solidFill>
            <a:ln>
              <a:noFill/>
            </a:ln>
            <a:effectLst/>
          </c:spPr>
          <c:invertIfNegative val="0"/>
          <c:cat>
            <c:strRef>
              <c:f>'ANÁLISIS PATRIMONIAL'!$H$4:$H$7</c:f>
              <c:strCache>
                <c:ptCount val="4"/>
                <c:pt idx="0">
                  <c:v>Activo 2022</c:v>
                </c:pt>
                <c:pt idx="1">
                  <c:v>PN+P 2022</c:v>
                </c:pt>
                <c:pt idx="2">
                  <c:v>Activo 2023</c:v>
                </c:pt>
                <c:pt idx="3">
                  <c:v>PN+P 2023</c:v>
                </c:pt>
              </c:strCache>
            </c:strRef>
          </c:cat>
          <c:val>
            <c:numRef>
              <c:f>'ANÁLISIS PATRIMONIAL'!$L$4:$L$7</c:f>
              <c:numCache>
                <c:formatCode>#,##0;\(#,##0\);"-"</c:formatCode>
                <c:ptCount val="4"/>
                <c:pt idx="0" formatCode="General">
                  <c:v>0</c:v>
                </c:pt>
                <c:pt idx="1">
                  <c:v>57796</c:v>
                </c:pt>
                <c:pt idx="2" formatCode="General">
                  <c:v>0</c:v>
                </c:pt>
                <c:pt idx="3">
                  <c:v>57764</c:v>
                </c:pt>
              </c:numCache>
            </c:numRef>
          </c:val>
          <c:extLst>
            <c:ext xmlns:c16="http://schemas.microsoft.com/office/drawing/2014/chart" uri="{C3380CC4-5D6E-409C-BE32-E72D297353CC}">
              <c16:uniqueId val="{00000006-16DE-452A-9B2B-A111FC46036B}"/>
            </c:ext>
          </c:extLst>
        </c:ser>
        <c:ser>
          <c:idx val="2"/>
          <c:order val="2"/>
          <c:tx>
            <c:strRef>
              <c:f>'ANÁLISIS PATRIMONIAL'!$K$3</c:f>
              <c:strCache>
                <c:ptCount val="1"/>
                <c:pt idx="0">
                  <c:v>PN</c:v>
                </c:pt>
              </c:strCache>
            </c:strRef>
          </c:tx>
          <c:spPr>
            <a:solidFill>
              <a:srgbClr val="2C3E6B"/>
            </a:solidFill>
            <a:ln>
              <a:noFill/>
            </a:ln>
            <a:effectLst/>
          </c:spPr>
          <c:invertIfNegative val="0"/>
          <c:cat>
            <c:strRef>
              <c:f>'ANÁLISIS PATRIMONIAL'!$H$4:$H$7</c:f>
              <c:strCache>
                <c:ptCount val="4"/>
                <c:pt idx="0">
                  <c:v>Activo 2022</c:v>
                </c:pt>
                <c:pt idx="1">
                  <c:v>PN+P 2022</c:v>
                </c:pt>
                <c:pt idx="2">
                  <c:v>Activo 2023</c:v>
                </c:pt>
                <c:pt idx="3">
                  <c:v>PN+P 2023</c:v>
                </c:pt>
              </c:strCache>
            </c:strRef>
          </c:cat>
          <c:val>
            <c:numRef>
              <c:f>'ANÁLISIS PATRIMONIAL'!$K$4:$K$7</c:f>
              <c:numCache>
                <c:formatCode>#,##0;\(#,##0\);"-"</c:formatCode>
                <c:ptCount val="4"/>
                <c:pt idx="0" formatCode="General">
                  <c:v>0</c:v>
                </c:pt>
                <c:pt idx="1">
                  <c:v>242867</c:v>
                </c:pt>
                <c:pt idx="2" formatCode="General">
                  <c:v>0</c:v>
                </c:pt>
                <c:pt idx="3">
                  <c:v>53265</c:v>
                </c:pt>
              </c:numCache>
            </c:numRef>
          </c:val>
          <c:extLst>
            <c:ext xmlns:c16="http://schemas.microsoft.com/office/drawing/2014/chart" uri="{C3380CC4-5D6E-409C-BE32-E72D297353CC}">
              <c16:uniqueId val="{00000004-16DE-452A-9B2B-A111FC46036B}"/>
            </c:ext>
          </c:extLst>
        </c:ser>
        <c:ser>
          <c:idx val="1"/>
          <c:order val="3"/>
          <c:tx>
            <c:strRef>
              <c:f>'ANÁLISIS PATRIMONIAL'!$J$3</c:f>
              <c:strCache>
                <c:ptCount val="1"/>
                <c:pt idx="0">
                  <c:v>AC</c:v>
                </c:pt>
              </c:strCache>
            </c:strRef>
          </c:tx>
          <c:spPr>
            <a:solidFill>
              <a:srgbClr val="4472C4"/>
            </a:solidFill>
            <a:ln>
              <a:noFill/>
            </a:ln>
            <a:effectLst/>
          </c:spPr>
          <c:invertIfNegative val="0"/>
          <c:cat>
            <c:strRef>
              <c:f>'ANÁLISIS PATRIMONIAL'!$H$4:$H$7</c:f>
              <c:strCache>
                <c:ptCount val="4"/>
                <c:pt idx="0">
                  <c:v>Activo 2022</c:v>
                </c:pt>
                <c:pt idx="1">
                  <c:v>PN+P 2022</c:v>
                </c:pt>
                <c:pt idx="2">
                  <c:v>Activo 2023</c:v>
                </c:pt>
                <c:pt idx="3">
                  <c:v>PN+P 2023</c:v>
                </c:pt>
              </c:strCache>
            </c:strRef>
          </c:cat>
          <c:val>
            <c:numRef>
              <c:f>'ANÁLISIS PATRIMONIAL'!$J$4:$J$7</c:f>
              <c:numCache>
                <c:formatCode>General</c:formatCode>
                <c:ptCount val="4"/>
                <c:pt idx="0" formatCode="#,##0;\(#,##0\);&quot;-&quot;">
                  <c:v>738462</c:v>
                </c:pt>
                <c:pt idx="1">
                  <c:v>0</c:v>
                </c:pt>
                <c:pt idx="2" formatCode="#,##0;\(#,##0\);&quot;-&quot;">
                  <c:v>625068</c:v>
                </c:pt>
                <c:pt idx="3">
                  <c:v>0</c:v>
                </c:pt>
              </c:numCache>
            </c:numRef>
          </c:val>
          <c:extLst>
            <c:ext xmlns:c16="http://schemas.microsoft.com/office/drawing/2014/chart" uri="{C3380CC4-5D6E-409C-BE32-E72D297353CC}">
              <c16:uniqueId val="{00000002-16DE-452A-9B2B-A111FC46036B}"/>
            </c:ext>
          </c:extLst>
        </c:ser>
        <c:ser>
          <c:idx val="0"/>
          <c:order val="4"/>
          <c:tx>
            <c:strRef>
              <c:f>'ANÁLISIS PATRIMONIAL'!$I$3</c:f>
              <c:strCache>
                <c:ptCount val="1"/>
                <c:pt idx="0">
                  <c:v>ANC</c:v>
                </c:pt>
              </c:strCache>
            </c:strRef>
          </c:tx>
          <c:spPr>
            <a:solidFill>
              <a:srgbClr val="1B2A4A"/>
            </a:solidFill>
            <a:ln>
              <a:noFill/>
            </a:ln>
            <a:effectLst/>
          </c:spPr>
          <c:invertIfNegative val="0"/>
          <c:cat>
            <c:strRef>
              <c:f>'ANÁLISIS PATRIMONIAL'!$H$4:$H$7</c:f>
              <c:strCache>
                <c:ptCount val="4"/>
                <c:pt idx="0">
                  <c:v>Activo 2022</c:v>
                </c:pt>
                <c:pt idx="1">
                  <c:v>PN+P 2022</c:v>
                </c:pt>
                <c:pt idx="2">
                  <c:v>Activo 2023</c:v>
                </c:pt>
                <c:pt idx="3">
                  <c:v>PN+P 2023</c:v>
                </c:pt>
              </c:strCache>
            </c:strRef>
          </c:cat>
          <c:val>
            <c:numRef>
              <c:f>'ANÁLISIS PATRIMONIAL'!$I$4:$I$7</c:f>
              <c:numCache>
                <c:formatCode>General</c:formatCode>
                <c:ptCount val="4"/>
                <c:pt idx="0" formatCode="#,##0;\(#,##0\);&quot;-&quot;">
                  <c:v>455451</c:v>
                </c:pt>
                <c:pt idx="1">
                  <c:v>0</c:v>
                </c:pt>
                <c:pt idx="2" formatCode="#,##0;\(#,##0\);&quot;-&quot;">
                  <c:v>517370</c:v>
                </c:pt>
                <c:pt idx="3">
                  <c:v>0</c:v>
                </c:pt>
              </c:numCache>
            </c:numRef>
          </c:val>
          <c:extLst>
            <c:ext xmlns:c16="http://schemas.microsoft.com/office/drawing/2014/chart" uri="{C3380CC4-5D6E-409C-BE32-E72D297353CC}">
              <c16:uniqueId val="{00000000-16DE-452A-9B2B-A111FC46036B}"/>
            </c:ext>
          </c:extLst>
        </c:ser>
        <c:dLbls>
          <c:showLegendKey val="0"/>
          <c:showVal val="0"/>
          <c:showCatName val="0"/>
          <c:showSerName val="0"/>
          <c:showPercent val="0"/>
          <c:showBubbleSize val="0"/>
        </c:dLbls>
        <c:gapWidth val="150"/>
        <c:overlap val="100"/>
        <c:axId val="69649928"/>
        <c:axId val="69657096"/>
      </c:barChart>
      <c:catAx>
        <c:axId val="6964992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B2A4A"/>
                </a:solidFill>
                <a:latin typeface="+mn-lt"/>
                <a:ea typeface="+mn-ea"/>
                <a:cs typeface="+mn-cs"/>
              </a:defRPr>
            </a:pPr>
            <a:endParaRPr lang="en-US"/>
          </a:p>
        </c:txPr>
        <c:crossAx val="69657096"/>
        <c:crosses val="autoZero"/>
        <c:auto val="1"/>
        <c:lblAlgn val="ctr"/>
        <c:lblOffset val="100"/>
        <c:noMultiLvlLbl val="0"/>
      </c:catAx>
      <c:valAx>
        <c:axId val="69657096"/>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666666"/>
                    </a:solidFill>
                    <a:latin typeface="+mn-lt"/>
                    <a:ea typeface="+mn-ea"/>
                    <a:cs typeface="+mn-cs"/>
                  </a:defRPr>
                </a:pPr>
                <a:r>
                  <a:rPr lang="en-US"/>
                  <a:t>miles €</a:t>
                </a:r>
              </a:p>
            </c:rich>
          </c:tx>
          <c:overlay val="0"/>
          <c:spPr>
            <a:noFill/>
            <a:ln>
              <a:noFill/>
            </a:ln>
            <a:effectLst/>
          </c:spPr>
          <c:txPr>
            <a:bodyPr rot="-54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333333"/>
                </a:solidFill>
                <a:latin typeface="+mn-lt"/>
                <a:ea typeface="+mn-ea"/>
                <a:cs typeface="+mn-cs"/>
              </a:defRPr>
            </a:pPr>
            <a:endParaRPr lang="en-US"/>
          </a:p>
        </c:txPr>
        <c:crossAx val="6964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371475</xdr:colOff>
      <xdr:row>9</xdr:row>
      <xdr:rowOff>142875</xdr:rowOff>
    </xdr:from>
    <xdr:to>
      <xdr:col>8</xdr:col>
      <xdr:colOff>409575</xdr:colOff>
      <xdr:row>29</xdr:row>
      <xdr:rowOff>76200</xdr:rowOff>
    </xdr:to>
    <xdr:graphicFrame macro="">
      <xdr:nvGraphicFramePr>
        <xdr:cNvPr id="18" name="Chart 17">
          <a:extLst>
            <a:ext uri="{FF2B5EF4-FFF2-40B4-BE49-F238E27FC236}">
              <a16:creationId xmlns:a16="http://schemas.microsoft.com/office/drawing/2014/main" id="{4C299E58-D24F-3CD5-B935-D55C576B5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304800</xdr:colOff>
      <xdr:row>39</xdr:row>
      <xdr:rowOff>180975</xdr:rowOff>
    </xdr:from>
    <xdr:to>
      <xdr:col>9</xdr:col>
      <xdr:colOff>276225</xdr:colOff>
      <xdr:row>60</xdr:row>
      <xdr:rowOff>38100</xdr:rowOff>
    </xdr:to>
    <xdr:graphicFrame macro="">
      <xdr:nvGraphicFramePr>
        <xdr:cNvPr id="19" name="Chart 18">
          <a:extLst>
            <a:ext uri="{FF2B5EF4-FFF2-40B4-BE49-F238E27FC236}">
              <a16:creationId xmlns:a16="http://schemas.microsoft.com/office/drawing/2014/main" id="{8BA299DB-C36D-C381-2F87-99BE7A72E279}"/>
            </a:ext>
            <a:ext uri="{147F2762-F138-4A5C-976F-8EAC2B608ADB}">
              <a16:predDERef xmlns:a16="http://schemas.microsoft.com/office/drawing/2014/main" pred="{4C299E58-D24F-3CD5-B935-D55C576B5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342900</xdr:colOff>
      <xdr:row>10</xdr:row>
      <xdr:rowOff>114300</xdr:rowOff>
    </xdr:from>
    <xdr:to>
      <xdr:col>24</xdr:col>
      <xdr:colOff>95250</xdr:colOff>
      <xdr:row>28</xdr:row>
      <xdr:rowOff>47625</xdr:rowOff>
    </xdr:to>
    <xdr:graphicFrame macro="">
      <xdr:nvGraphicFramePr>
        <xdr:cNvPr id="20" name="Chart 19">
          <a:extLst>
            <a:ext uri="{FF2B5EF4-FFF2-40B4-BE49-F238E27FC236}">
              <a16:creationId xmlns:a16="http://schemas.microsoft.com/office/drawing/2014/main" id="{94659F30-87DF-FDFD-6EEE-AF56953D01E6}"/>
            </a:ext>
            <a:ext uri="{147F2762-F138-4A5C-976F-8EAC2B608ADB}">
              <a16:predDERef xmlns:a16="http://schemas.microsoft.com/office/drawing/2014/main" pred="{8BA299DB-C36D-C381-2F87-99BE7A72E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276225</xdr:colOff>
      <xdr:row>41</xdr:row>
      <xdr:rowOff>180975</xdr:rowOff>
    </xdr:from>
    <xdr:to>
      <xdr:col>24</xdr:col>
      <xdr:colOff>361950</xdr:colOff>
      <xdr:row>60</xdr:row>
      <xdr:rowOff>180975</xdr:rowOff>
    </xdr:to>
    <xdr:graphicFrame macro="">
      <xdr:nvGraphicFramePr>
        <xdr:cNvPr id="21" name="Chart 20">
          <a:extLst>
            <a:ext uri="{FF2B5EF4-FFF2-40B4-BE49-F238E27FC236}">
              <a16:creationId xmlns:a16="http://schemas.microsoft.com/office/drawing/2014/main" id="{3E6D71AE-C0C9-6D6A-6A9E-39B2C98A5974}"/>
            </a:ext>
            <a:ext uri="{147F2762-F138-4A5C-976F-8EAC2B608ADB}">
              <a16:predDERef xmlns:a16="http://schemas.microsoft.com/office/drawing/2014/main" pred="{94659F30-87DF-FDFD-6EEE-AF56953D0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285750</xdr:colOff>
      <xdr:row>13</xdr:row>
      <xdr:rowOff>47625</xdr:rowOff>
    </xdr:from>
    <xdr:to>
      <xdr:col>23</xdr:col>
      <xdr:colOff>85725</xdr:colOff>
      <xdr:row>28</xdr:row>
      <xdr:rowOff>161925</xdr:rowOff>
    </xdr:to>
    <xdr:graphicFrame macro="">
      <xdr:nvGraphicFramePr>
        <xdr:cNvPr id="2" name="Gráfico 1">
          <a:extLst>
            <a:ext uri="{FF2B5EF4-FFF2-40B4-BE49-F238E27FC236}">
              <a16:creationId xmlns:a16="http://schemas.microsoft.com/office/drawing/2014/main" id="{A63D5D44-8E7E-260C-D664-4DE0DDA8D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EE612F-26C1-460F-8C0E-68B24232596E}">
  <we:reference id="wa200009404" version="1.0.0.8" store="en-US" storeType="omex"/>
  <we:alternateReferences>
    <we:reference id="wa200009404" version="1.0.0.8" store="en-US" storeType="omex"/>
  </we:alternateReferences>
  <we:properties>
    <we:property name="claude.fileId" value="&quot;ad7e8bdc-e57b-4409-9f7c-b42d4d85ccd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H155"/>
  <sheetViews>
    <sheetView topLeftCell="A134" zoomScale="99" zoomScaleNormal="130" workbookViewId="0">
      <selection activeCell="J7" sqref="J7"/>
    </sheetView>
  </sheetViews>
  <sheetFormatPr defaultColWidth="8.85546875" defaultRowHeight="15" customHeight="1"/>
  <cols>
    <col min="1" max="1" width="55.28515625" customWidth="1"/>
    <col min="2" max="2" width="1" customWidth="1"/>
    <col min="3" max="4" width="17.140625" style="3" customWidth="1"/>
    <col min="5" max="6" width="15.28515625" style="6" customWidth="1"/>
    <col min="7" max="7" width="8.85546875" customWidth="1"/>
    <col min="8" max="8" width="33.28515625" customWidth="1"/>
    <col min="9" max="14" width="8.85546875" customWidth="1"/>
  </cols>
  <sheetData>
    <row r="1" spans="1:8" s="1" customFormat="1" ht="35.25" customHeight="1">
      <c r="A1" s="488" t="s">
        <v>0</v>
      </c>
      <c r="B1" s="489"/>
      <c r="C1" s="489"/>
      <c r="D1" s="489"/>
      <c r="E1" s="489"/>
      <c r="F1" s="490"/>
      <c r="H1" s="204" t="s">
        <v>1</v>
      </c>
    </row>
    <row r="2" spans="1:8" ht="24.75" customHeight="1">
      <c r="A2" s="15" t="s">
        <v>2</v>
      </c>
      <c r="B2" s="12"/>
      <c r="C2" s="13" t="s">
        <v>3</v>
      </c>
      <c r="D2" s="13" t="s">
        <v>4</v>
      </c>
      <c r="E2" s="14" t="s">
        <v>5</v>
      </c>
      <c r="F2" s="16" t="s">
        <v>6</v>
      </c>
      <c r="H2" s="205" t="s">
        <v>7</v>
      </c>
    </row>
    <row r="3" spans="1:8" ht="15" customHeight="1">
      <c r="A3" s="17" t="s">
        <v>8</v>
      </c>
      <c r="B3" s="18"/>
      <c r="C3" s="19">
        <v>517370</v>
      </c>
      <c r="D3" s="19">
        <v>455451</v>
      </c>
      <c r="E3" s="20">
        <v>1</v>
      </c>
      <c r="F3" s="21">
        <v>1</v>
      </c>
      <c r="H3" s="206" t="s">
        <v>9</v>
      </c>
    </row>
    <row r="4" spans="1:8" ht="15" customHeight="1">
      <c r="A4" s="22" t="s">
        <v>10</v>
      </c>
      <c r="B4" s="23"/>
      <c r="C4" s="24">
        <v>3257</v>
      </c>
      <c r="D4" s="24">
        <v>4472</v>
      </c>
      <c r="E4" s="25">
        <f>C4/$C$3</f>
        <v>6.2953012350928737E-3</v>
      </c>
      <c r="F4" s="26">
        <f>D4/$D$3</f>
        <v>9.8188389091252402E-3</v>
      </c>
    </row>
    <row r="5" spans="1:8" ht="15" customHeight="1">
      <c r="A5" s="27" t="s">
        <v>11</v>
      </c>
      <c r="B5" s="28"/>
      <c r="C5" s="29"/>
      <c r="D5" s="29"/>
      <c r="E5" s="30"/>
      <c r="F5" s="31"/>
    </row>
    <row r="6" spans="1:8" ht="15" customHeight="1">
      <c r="A6" s="27" t="s">
        <v>12</v>
      </c>
      <c r="B6" s="28"/>
      <c r="C6" s="29"/>
      <c r="D6" s="29"/>
      <c r="E6" s="30"/>
      <c r="F6" s="31"/>
    </row>
    <row r="7" spans="1:8" ht="15" customHeight="1">
      <c r="A7" s="27" t="s">
        <v>13</v>
      </c>
      <c r="B7" s="28"/>
      <c r="C7" s="29"/>
      <c r="D7" s="29"/>
      <c r="E7" s="30"/>
      <c r="F7" s="31"/>
    </row>
    <row r="8" spans="1:8" ht="15" customHeight="1">
      <c r="A8" s="27" t="s">
        <v>14</v>
      </c>
      <c r="B8" s="28"/>
      <c r="C8" s="29"/>
      <c r="D8" s="29"/>
      <c r="E8" s="30"/>
      <c r="F8" s="31"/>
    </row>
    <row r="9" spans="1:8" ht="15" customHeight="1">
      <c r="A9" s="27" t="s">
        <v>15</v>
      </c>
      <c r="B9" s="28"/>
      <c r="C9" s="29">
        <v>1065</v>
      </c>
      <c r="D9" s="29">
        <v>992</v>
      </c>
      <c r="E9" s="30">
        <f>C9/$C$3</f>
        <v>2.0584881226201751E-3</v>
      </c>
      <c r="F9" s="31">
        <f>D9/$D$3</f>
        <v>2.1780608671404826E-3</v>
      </c>
    </row>
    <row r="10" spans="1:8" ht="15" customHeight="1">
      <c r="A10" s="27" t="s">
        <v>16</v>
      </c>
      <c r="B10" s="28"/>
      <c r="C10" s="29">
        <v>2192</v>
      </c>
      <c r="D10" s="29">
        <v>3467</v>
      </c>
      <c r="E10" s="30">
        <f>C10/$C$3</f>
        <v>4.2368131124726986E-3</v>
      </c>
      <c r="F10" s="31">
        <f>D10/$D$3</f>
        <v>7.6122349056210216E-3</v>
      </c>
    </row>
    <row r="11" spans="1:8" ht="15" customHeight="1">
      <c r="A11" s="27" t="s">
        <v>17</v>
      </c>
      <c r="B11" s="28"/>
      <c r="C11" s="29"/>
      <c r="D11" s="29"/>
      <c r="E11" s="30"/>
      <c r="F11" s="31"/>
    </row>
    <row r="12" spans="1:8" ht="15" customHeight="1">
      <c r="A12" s="27" t="s">
        <v>18</v>
      </c>
      <c r="B12" s="28"/>
      <c r="C12" s="29">
        <v>0</v>
      </c>
      <c r="D12" s="29">
        <v>13</v>
      </c>
      <c r="E12" s="30"/>
      <c r="F12" s="31">
        <f t="shared" ref="F12:F21" si="0">D12/$D$3</f>
        <v>2.8543136363736164E-5</v>
      </c>
    </row>
    <row r="13" spans="1:8" ht="15" customHeight="1">
      <c r="A13" s="22" t="s">
        <v>19</v>
      </c>
      <c r="B13" s="23"/>
      <c r="C13" s="24">
        <v>385465</v>
      </c>
      <c r="D13" s="24">
        <v>381953</v>
      </c>
      <c r="E13" s="25">
        <f t="shared" ref="E13:E21" si="1">C13/$C$3</f>
        <v>0.74504706496317918</v>
      </c>
      <c r="F13" s="26">
        <f t="shared" si="0"/>
        <v>0.83862588950293226</v>
      </c>
    </row>
    <row r="14" spans="1:8" ht="15" customHeight="1">
      <c r="A14" s="27" t="s">
        <v>20</v>
      </c>
      <c r="B14" s="28"/>
      <c r="C14" s="29">
        <v>93058</v>
      </c>
      <c r="D14" s="29">
        <v>91631</v>
      </c>
      <c r="E14" s="30">
        <f t="shared" si="1"/>
        <v>0.1798674063049655</v>
      </c>
      <c r="F14" s="31">
        <f t="shared" si="0"/>
        <v>0.20118739447273143</v>
      </c>
    </row>
    <row r="15" spans="1:8" ht="15" customHeight="1">
      <c r="A15" s="32" t="s">
        <v>21</v>
      </c>
      <c r="B15" s="28"/>
      <c r="C15" s="29">
        <v>267325</v>
      </c>
      <c r="D15" s="29">
        <v>269006</v>
      </c>
      <c r="E15" s="30">
        <f t="shared" si="1"/>
        <v>0.51669984730463692</v>
      </c>
      <c r="F15" s="31">
        <f t="shared" si="0"/>
        <v>0.59063653389717008</v>
      </c>
    </row>
    <row r="16" spans="1:8" ht="15" customHeight="1">
      <c r="A16" s="27" t="s">
        <v>22</v>
      </c>
      <c r="B16" s="28"/>
      <c r="C16" s="29">
        <v>25082</v>
      </c>
      <c r="D16" s="29">
        <v>21316</v>
      </c>
      <c r="E16" s="30">
        <f t="shared" si="1"/>
        <v>4.8479811353576742E-2</v>
      </c>
      <c r="F16" s="31">
        <f t="shared" si="0"/>
        <v>4.6801961133030777E-2</v>
      </c>
    </row>
    <row r="17" spans="1:6" ht="15" customHeight="1">
      <c r="A17" s="22" t="s">
        <v>23</v>
      </c>
      <c r="B17" s="23"/>
      <c r="C17" s="24">
        <v>7943</v>
      </c>
      <c r="D17" s="24">
        <v>8054</v>
      </c>
      <c r="E17" s="25">
        <f t="shared" si="1"/>
        <v>1.5352648974621644E-2</v>
      </c>
      <c r="F17" s="26">
        <f t="shared" si="0"/>
        <v>1.7683570790271622E-2</v>
      </c>
    </row>
    <row r="18" spans="1:6" ht="15" customHeight="1">
      <c r="A18" s="27" t="s">
        <v>24</v>
      </c>
      <c r="B18" s="28"/>
      <c r="C18" s="29">
        <v>4212</v>
      </c>
      <c r="D18" s="29">
        <v>4212</v>
      </c>
      <c r="E18" s="30">
        <f t="shared" si="1"/>
        <v>8.1411755610104955E-3</v>
      </c>
      <c r="F18" s="31">
        <f t="shared" si="0"/>
        <v>9.247976181850517E-3</v>
      </c>
    </row>
    <row r="19" spans="1:6" ht="15" customHeight="1">
      <c r="A19" s="27" t="s">
        <v>25</v>
      </c>
      <c r="B19" s="28"/>
      <c r="C19" s="29">
        <v>3731</v>
      </c>
      <c r="D19" s="29">
        <v>3842</v>
      </c>
      <c r="E19" s="30">
        <f t="shared" si="1"/>
        <v>7.2114734136111483E-3</v>
      </c>
      <c r="F19" s="31">
        <f t="shared" si="0"/>
        <v>8.4355946084211028E-3</v>
      </c>
    </row>
    <row r="20" spans="1:6" ht="15" customHeight="1">
      <c r="A20" s="33" t="s">
        <v>26</v>
      </c>
      <c r="B20" s="23"/>
      <c r="C20" s="24">
        <v>2705</v>
      </c>
      <c r="D20" s="24">
        <v>2705</v>
      </c>
      <c r="E20" s="25">
        <f t="shared" si="1"/>
        <v>5.2283665461855151E-3</v>
      </c>
      <c r="F20" s="26">
        <f t="shared" si="0"/>
        <v>5.939167989531256E-3</v>
      </c>
    </row>
    <row r="21" spans="1:6" ht="15" customHeight="1">
      <c r="A21" s="27" t="s">
        <v>27</v>
      </c>
      <c r="B21" s="28"/>
      <c r="C21" s="29">
        <v>2705</v>
      </c>
      <c r="D21" s="29">
        <v>2705</v>
      </c>
      <c r="E21" s="30">
        <f t="shared" si="1"/>
        <v>5.2283665461855151E-3</v>
      </c>
      <c r="F21" s="31">
        <f t="shared" si="0"/>
        <v>5.939167989531256E-3</v>
      </c>
    </row>
    <row r="22" spans="1:6" ht="15" customHeight="1">
      <c r="A22" s="27" t="s">
        <v>28</v>
      </c>
      <c r="B22" s="28"/>
      <c r="C22" s="29"/>
      <c r="D22" s="29"/>
      <c r="E22" s="30"/>
      <c r="F22" s="31"/>
    </row>
    <row r="23" spans="1:6" ht="15" customHeight="1">
      <c r="A23" s="27" t="s">
        <v>29</v>
      </c>
      <c r="B23" s="28"/>
      <c r="C23" s="29"/>
      <c r="D23" s="29"/>
      <c r="E23" s="30"/>
      <c r="F23" s="31"/>
    </row>
    <row r="24" spans="1:6" ht="15" customHeight="1">
      <c r="A24" s="27" t="s">
        <v>30</v>
      </c>
      <c r="B24" s="28"/>
      <c r="C24" s="29"/>
      <c r="D24" s="29"/>
      <c r="E24" s="30"/>
      <c r="F24" s="31"/>
    </row>
    <row r="25" spans="1:6" ht="15" customHeight="1">
      <c r="A25" s="27" t="s">
        <v>31</v>
      </c>
      <c r="B25" s="28"/>
      <c r="C25" s="29"/>
      <c r="D25" s="29"/>
      <c r="E25" s="30"/>
      <c r="F25" s="31"/>
    </row>
    <row r="26" spans="1:6" ht="15" customHeight="1">
      <c r="A26" s="27" t="s">
        <v>32</v>
      </c>
      <c r="B26" s="28"/>
      <c r="C26" s="29"/>
      <c r="D26" s="29"/>
      <c r="E26" s="30"/>
      <c r="F26" s="31"/>
    </row>
    <row r="27" spans="1:6" ht="15" customHeight="1">
      <c r="A27" s="22" t="s">
        <v>33</v>
      </c>
      <c r="B27" s="23"/>
      <c r="C27" s="24">
        <v>389</v>
      </c>
      <c r="D27" s="24">
        <v>1070</v>
      </c>
      <c r="E27" s="25">
        <f>C27/$C$3</f>
        <v>7.5187969924812035E-4</v>
      </c>
      <c r="F27" s="26">
        <f>D27/$D$3</f>
        <v>2.3493196853228999E-3</v>
      </c>
    </row>
    <row r="28" spans="1:6" ht="15" customHeight="1">
      <c r="A28" s="27" t="s">
        <v>27</v>
      </c>
      <c r="B28" s="28"/>
      <c r="C28" s="29">
        <v>275</v>
      </c>
      <c r="D28" s="29">
        <v>275</v>
      </c>
      <c r="E28" s="30">
        <f>C28/$C$3</f>
        <v>5.3153449175638329E-4</v>
      </c>
      <c r="F28" s="31">
        <f>D28/$D$3</f>
        <v>6.0379711538672653E-4</v>
      </c>
    </row>
    <row r="29" spans="1:6" ht="15" customHeight="1">
      <c r="A29" s="27" t="s">
        <v>34</v>
      </c>
      <c r="B29" s="28"/>
      <c r="C29" s="29"/>
      <c r="D29" s="29"/>
      <c r="E29" s="30"/>
      <c r="F29" s="31"/>
    </row>
    <row r="30" spans="1:6" ht="15" customHeight="1">
      <c r="A30" s="27" t="s">
        <v>29</v>
      </c>
      <c r="B30" s="28"/>
      <c r="C30" s="29"/>
      <c r="D30" s="29"/>
      <c r="E30" s="30"/>
      <c r="F30" s="31"/>
    </row>
    <row r="31" spans="1:6" ht="15" customHeight="1">
      <c r="A31" s="27" t="s">
        <v>30</v>
      </c>
      <c r="B31" s="28"/>
      <c r="C31" s="29"/>
      <c r="D31" s="29"/>
      <c r="E31" s="30"/>
      <c r="F31" s="31"/>
    </row>
    <row r="32" spans="1:6" ht="15" customHeight="1">
      <c r="A32" s="27" t="s">
        <v>31</v>
      </c>
      <c r="B32" s="28"/>
      <c r="C32" s="29">
        <v>114</v>
      </c>
      <c r="D32" s="29">
        <v>795</v>
      </c>
      <c r="E32" s="30">
        <f>C32/$C$3</f>
        <v>2.2034520749173705E-4</v>
      </c>
      <c r="F32" s="31">
        <f>D32/$D$3</f>
        <v>1.7455225699361731E-3</v>
      </c>
    </row>
    <row r="33" spans="1:6" ht="15" customHeight="1">
      <c r="A33" s="27" t="s">
        <v>32</v>
      </c>
      <c r="B33" s="28"/>
      <c r="C33" s="29"/>
      <c r="D33" s="29"/>
      <c r="E33" s="30"/>
      <c r="F33" s="31"/>
    </row>
    <row r="34" spans="1:6" ht="15" customHeight="1">
      <c r="A34" s="22" t="s">
        <v>35</v>
      </c>
      <c r="B34" s="23"/>
      <c r="C34" s="24">
        <v>117611</v>
      </c>
      <c r="D34" s="24">
        <v>57197</v>
      </c>
      <c r="E34" s="25">
        <f>C34/$C$3</f>
        <v>0.22732473858167268</v>
      </c>
      <c r="F34" s="26">
        <f>D34/$D$3</f>
        <v>0.12558321312281673</v>
      </c>
    </row>
    <row r="35" spans="1:6" ht="15" customHeight="1">
      <c r="A35" s="27" t="s">
        <v>36</v>
      </c>
      <c r="B35" s="28"/>
      <c r="C35" s="29"/>
      <c r="D35" s="29"/>
      <c r="E35" s="30"/>
      <c r="F35" s="31"/>
    </row>
    <row r="36" spans="1:6" ht="15" customHeight="1">
      <c r="A36" s="34" t="s">
        <v>37</v>
      </c>
      <c r="B36" s="35"/>
      <c r="C36" s="36">
        <v>625068</v>
      </c>
      <c r="D36" s="36">
        <v>738462</v>
      </c>
      <c r="E36" s="37">
        <v>1</v>
      </c>
      <c r="F36" s="38">
        <v>1</v>
      </c>
    </row>
    <row r="37" spans="1:6" ht="15" customHeight="1">
      <c r="A37" s="33" t="s">
        <v>38</v>
      </c>
      <c r="B37" s="23"/>
      <c r="C37" s="24"/>
      <c r="D37" s="24"/>
      <c r="E37" s="25"/>
      <c r="F37" s="26"/>
    </row>
    <row r="38" spans="1:6" ht="15" customHeight="1">
      <c r="A38" s="22" t="s">
        <v>39</v>
      </c>
      <c r="B38" s="23"/>
      <c r="C38" s="24">
        <v>421245</v>
      </c>
      <c r="D38" s="24">
        <v>477896</v>
      </c>
      <c r="E38" s="25">
        <f>C38/$C$36</f>
        <v>0.67391867764787194</v>
      </c>
      <c r="F38" s="26">
        <f>D38/$D$36</f>
        <v>0.64715042886431529</v>
      </c>
    </row>
    <row r="39" spans="1:6" ht="15" customHeight="1">
      <c r="A39" s="27" t="s">
        <v>40</v>
      </c>
      <c r="B39" s="28"/>
      <c r="C39" s="29"/>
      <c r="D39" s="29"/>
      <c r="E39" s="30"/>
      <c r="F39" s="31"/>
    </row>
    <row r="40" spans="1:6" ht="15" customHeight="1">
      <c r="A40" s="32" t="s">
        <v>41</v>
      </c>
      <c r="B40" s="28"/>
      <c r="C40" s="29">
        <v>160765</v>
      </c>
      <c r="D40" s="29">
        <v>184275</v>
      </c>
      <c r="E40" s="30">
        <f>C40/$C$36</f>
        <v>0.25719601707334244</v>
      </c>
      <c r="F40" s="31">
        <f>D40/$D$36</f>
        <v>0.24953890653818342</v>
      </c>
    </row>
    <row r="41" spans="1:6" ht="15" customHeight="1">
      <c r="A41" s="32" t="s">
        <v>42</v>
      </c>
      <c r="B41" s="28"/>
      <c r="C41" s="29"/>
      <c r="D41" s="29"/>
      <c r="E41" s="30"/>
      <c r="F41" s="31"/>
    </row>
    <row r="42" spans="1:6" ht="15" customHeight="1">
      <c r="A42" s="32" t="s">
        <v>43</v>
      </c>
      <c r="B42" s="28"/>
      <c r="C42" s="29">
        <v>160765</v>
      </c>
      <c r="D42" s="29">
        <v>184275</v>
      </c>
      <c r="E42" s="30">
        <f>C42/$C$36</f>
        <v>0.25719601707334244</v>
      </c>
      <c r="F42" s="31">
        <f>D42/$D$36</f>
        <v>0.24953890653818342</v>
      </c>
    </row>
    <row r="43" spans="1:6" ht="15" customHeight="1">
      <c r="A43" s="27" t="s">
        <v>44</v>
      </c>
      <c r="B43" s="28"/>
      <c r="C43" s="29">
        <v>124468</v>
      </c>
      <c r="D43" s="29">
        <v>132594</v>
      </c>
      <c r="E43" s="30">
        <f>C43/$C$36</f>
        <v>0.1991271349677155</v>
      </c>
      <c r="F43" s="31">
        <f>D43/$D$36</f>
        <v>0.17955426277858577</v>
      </c>
    </row>
    <row r="44" spans="1:6" ht="15" customHeight="1">
      <c r="A44" s="27" t="s">
        <v>45</v>
      </c>
      <c r="B44" s="28"/>
      <c r="C44" s="29"/>
      <c r="D44" s="29"/>
      <c r="E44" s="30"/>
      <c r="F44" s="31"/>
    </row>
    <row r="45" spans="1:6" ht="15" customHeight="1">
      <c r="A45" s="27" t="s">
        <v>46</v>
      </c>
      <c r="B45" s="28"/>
      <c r="C45" s="29">
        <v>124468</v>
      </c>
      <c r="D45" s="29">
        <v>132594</v>
      </c>
      <c r="E45" s="30">
        <f>C45/$C$36</f>
        <v>0.1991271349677155</v>
      </c>
      <c r="F45" s="31">
        <f>D45/$D$36</f>
        <v>0.17955426277858577</v>
      </c>
    </row>
    <row r="46" spans="1:6" ht="15" customHeight="1">
      <c r="A46" s="27" t="s">
        <v>47</v>
      </c>
      <c r="B46" s="28"/>
      <c r="C46" s="29">
        <v>110743</v>
      </c>
      <c r="D46" s="29">
        <v>118668</v>
      </c>
      <c r="E46" s="30">
        <f>C46/$C$36</f>
        <v>0.17716952395579361</v>
      </c>
      <c r="F46" s="31">
        <f>D46/$D$36</f>
        <v>0.16069614956490652</v>
      </c>
    </row>
    <row r="47" spans="1:6" ht="15" customHeight="1">
      <c r="A47" s="27" t="s">
        <v>45</v>
      </c>
      <c r="B47" s="28"/>
      <c r="C47" s="29"/>
      <c r="D47" s="29"/>
      <c r="E47" s="30"/>
      <c r="F47" s="31"/>
    </row>
    <row r="48" spans="1:6" ht="15" customHeight="1">
      <c r="A48" s="27" t="s">
        <v>46</v>
      </c>
      <c r="B48" s="28"/>
      <c r="C48" s="29">
        <v>110743</v>
      </c>
      <c r="D48" s="29">
        <v>118668</v>
      </c>
      <c r="E48" s="30">
        <f>C48/$C$36</f>
        <v>0.17716952395579361</v>
      </c>
      <c r="F48" s="31">
        <f>D48/$D$36</f>
        <v>0.16069614956490652</v>
      </c>
    </row>
    <row r="49" spans="1:6" ht="15" customHeight="1">
      <c r="A49" s="32" t="s">
        <v>48</v>
      </c>
      <c r="B49" s="28"/>
      <c r="C49" s="29">
        <v>25269</v>
      </c>
      <c r="D49" s="29">
        <v>42359</v>
      </c>
      <c r="E49" s="30">
        <f>C49/$C$36</f>
        <v>4.0426001651020366E-2</v>
      </c>
      <c r="F49" s="31">
        <f>D49/$D$36</f>
        <v>5.7361109982639595E-2</v>
      </c>
    </row>
    <row r="50" spans="1:6" ht="15" customHeight="1">
      <c r="A50" s="27" t="s">
        <v>49</v>
      </c>
      <c r="B50" s="28"/>
      <c r="C50" s="29"/>
      <c r="D50" s="29"/>
      <c r="E50" s="30"/>
      <c r="F50" s="31"/>
    </row>
    <row r="51" spans="1:6" ht="15" customHeight="1">
      <c r="A51" s="33" t="s">
        <v>50</v>
      </c>
      <c r="B51" s="23"/>
      <c r="C51" s="24">
        <v>197821</v>
      </c>
      <c r="D51" s="24">
        <v>257849</v>
      </c>
      <c r="E51" s="25">
        <f>C51/$C$36</f>
        <v>0.31647916706662316</v>
      </c>
      <c r="F51" s="26">
        <f>D51/$D$36</f>
        <v>0.34917030260189419</v>
      </c>
    </row>
    <row r="52" spans="1:6" ht="15" customHeight="1">
      <c r="A52" s="32" t="s">
        <v>51</v>
      </c>
      <c r="B52" s="28"/>
      <c r="C52" s="29">
        <v>78642</v>
      </c>
      <c r="D52" s="29">
        <v>48170</v>
      </c>
      <c r="E52" s="30">
        <f>C52/$C$36</f>
        <v>0.1258135114899499</v>
      </c>
      <c r="F52" s="31">
        <f>D52/$D$36</f>
        <v>6.5230167564478608E-2</v>
      </c>
    </row>
    <row r="53" spans="1:6" ht="15" customHeight="1">
      <c r="A53" s="32" t="s">
        <v>52</v>
      </c>
      <c r="B53" s="28"/>
      <c r="C53" s="29"/>
      <c r="D53" s="29"/>
      <c r="E53" s="30"/>
      <c r="F53" s="31"/>
    </row>
    <row r="54" spans="1:6" ht="15" customHeight="1">
      <c r="A54" s="32" t="s">
        <v>53</v>
      </c>
      <c r="B54" s="28"/>
      <c r="C54" s="29">
        <v>78642</v>
      </c>
      <c r="D54" s="29">
        <v>48170</v>
      </c>
      <c r="E54" s="30">
        <f t="shared" ref="E54:E59" si="2">C54/$C$36</f>
        <v>0.1258135114899499</v>
      </c>
      <c r="F54" s="31">
        <f t="shared" ref="F54:F59" si="3">D54/$D$36</f>
        <v>6.5230167564478608E-2</v>
      </c>
    </row>
    <row r="55" spans="1:6" ht="15" customHeight="1">
      <c r="A55" s="32" t="s">
        <v>54</v>
      </c>
      <c r="B55" s="28"/>
      <c r="C55" s="29">
        <v>102105</v>
      </c>
      <c r="D55" s="29">
        <v>203823</v>
      </c>
      <c r="E55" s="30">
        <f t="shared" si="2"/>
        <v>0.16335022749524852</v>
      </c>
      <c r="F55" s="31">
        <f t="shared" si="3"/>
        <v>0.27601013999366253</v>
      </c>
    </row>
    <row r="56" spans="1:6" ht="15" customHeight="1">
      <c r="A56" s="27" t="s">
        <v>55</v>
      </c>
      <c r="B56" s="28"/>
      <c r="C56" s="29">
        <v>12511</v>
      </c>
      <c r="D56" s="29">
        <v>544</v>
      </c>
      <c r="E56" s="30">
        <f t="shared" si="2"/>
        <v>2.0015422322051359E-2</v>
      </c>
      <c r="F56" s="31">
        <f t="shared" si="3"/>
        <v>7.3666620625028776E-4</v>
      </c>
    </row>
    <row r="57" spans="1:6" ht="15" customHeight="1">
      <c r="A57" s="27" t="s">
        <v>56</v>
      </c>
      <c r="B57" s="28"/>
      <c r="C57" s="29">
        <v>381</v>
      </c>
      <c r="D57" s="29">
        <v>859</v>
      </c>
      <c r="E57" s="30">
        <f t="shared" si="2"/>
        <v>6.0953368273531836E-4</v>
      </c>
      <c r="F57" s="31">
        <f t="shared" si="3"/>
        <v>1.1632284396488918E-3</v>
      </c>
    </row>
    <row r="58" spans="1:6" ht="15" customHeight="1">
      <c r="A58" s="27" t="s">
        <v>57</v>
      </c>
      <c r="B58" s="28"/>
      <c r="C58" s="29">
        <v>10</v>
      </c>
      <c r="D58" s="29">
        <v>10</v>
      </c>
      <c r="E58" s="30">
        <f t="shared" si="2"/>
        <v>1.5998259389378437E-5</v>
      </c>
      <c r="F58" s="31">
        <f t="shared" si="3"/>
        <v>1.3541658203130289E-5</v>
      </c>
    </row>
    <row r="59" spans="1:6" ht="15" customHeight="1">
      <c r="A59" s="32" t="s">
        <v>58</v>
      </c>
      <c r="B59" s="28"/>
      <c r="C59" s="29">
        <v>4172</v>
      </c>
      <c r="D59" s="29">
        <v>4443</v>
      </c>
      <c r="E59" s="30">
        <f t="shared" si="2"/>
        <v>6.674473817248683E-3</v>
      </c>
      <c r="F59" s="31">
        <f t="shared" si="3"/>
        <v>6.0165587396507876E-3</v>
      </c>
    </row>
    <row r="60" spans="1:6" ht="15" customHeight="1">
      <c r="A60" s="32" t="s">
        <v>59</v>
      </c>
      <c r="B60" s="28"/>
      <c r="C60" s="29"/>
      <c r="D60" s="29"/>
      <c r="E60" s="30"/>
      <c r="F60" s="31"/>
    </row>
    <row r="61" spans="1:6" ht="15" customHeight="1">
      <c r="A61" s="33" t="s">
        <v>60</v>
      </c>
      <c r="B61" s="23"/>
      <c r="C61" s="24">
        <v>770</v>
      </c>
      <c r="D61" s="24">
        <v>0</v>
      </c>
      <c r="E61" s="25">
        <f>C61/$C$36</f>
        <v>1.2318659729821395E-3</v>
      </c>
      <c r="F61" s="26"/>
    </row>
    <row r="62" spans="1:6" ht="15" customHeight="1">
      <c r="A62" s="27" t="s">
        <v>27</v>
      </c>
      <c r="B62" s="28"/>
      <c r="C62" s="29"/>
      <c r="D62" s="29"/>
      <c r="E62" s="30"/>
      <c r="F62" s="31"/>
    </row>
    <row r="63" spans="1:6" ht="15" customHeight="1">
      <c r="A63" s="27" t="s">
        <v>28</v>
      </c>
      <c r="B63" s="28"/>
      <c r="C63" s="29">
        <v>770</v>
      </c>
      <c r="D63" s="29">
        <v>0</v>
      </c>
      <c r="E63" s="30">
        <f>C63/$C$36</f>
        <v>1.2318659729821395E-3</v>
      </c>
      <c r="F63" s="31"/>
    </row>
    <row r="64" spans="1:6" ht="15" customHeight="1">
      <c r="A64" s="27" t="s">
        <v>29</v>
      </c>
      <c r="B64" s="28"/>
      <c r="C64" s="29"/>
      <c r="D64" s="29"/>
      <c r="E64" s="30"/>
      <c r="F64" s="31"/>
    </row>
    <row r="65" spans="1:6" ht="15" customHeight="1">
      <c r="A65" s="27" t="s">
        <v>30</v>
      </c>
      <c r="B65" s="28"/>
      <c r="C65" s="29"/>
      <c r="D65" s="29"/>
      <c r="E65" s="30"/>
      <c r="F65" s="31"/>
    </row>
    <row r="66" spans="1:6" ht="15" customHeight="1">
      <c r="A66" s="27" t="s">
        <v>31</v>
      </c>
      <c r="B66" s="28"/>
      <c r="C66" s="29"/>
      <c r="D66" s="29"/>
      <c r="E66" s="30"/>
      <c r="F66" s="31"/>
    </row>
    <row r="67" spans="1:6" ht="15" customHeight="1">
      <c r="A67" s="27" t="s">
        <v>32</v>
      </c>
      <c r="B67" s="28"/>
      <c r="C67" s="29"/>
      <c r="D67" s="29"/>
      <c r="E67" s="30"/>
      <c r="F67" s="31"/>
    </row>
    <row r="68" spans="1:6" ht="15" customHeight="1">
      <c r="A68" s="22" t="s">
        <v>61</v>
      </c>
      <c r="B68" s="23"/>
      <c r="C68" s="24">
        <v>80</v>
      </c>
      <c r="D68" s="24">
        <v>308</v>
      </c>
      <c r="E68" s="25">
        <f>C68/$C$36</f>
        <v>1.279860751150275E-4</v>
      </c>
      <c r="F68" s="26">
        <f>D68/$D$36</f>
        <v>4.170830726564129E-4</v>
      </c>
    </row>
    <row r="69" spans="1:6" ht="15" customHeight="1">
      <c r="A69" s="27" t="s">
        <v>27</v>
      </c>
      <c r="B69" s="28"/>
      <c r="C69" s="29"/>
      <c r="D69" s="29"/>
      <c r="E69" s="30"/>
      <c r="F69" s="31"/>
    </row>
    <row r="70" spans="1:6" ht="15" customHeight="1">
      <c r="A70" s="27" t="s">
        <v>28</v>
      </c>
      <c r="B70" s="28"/>
      <c r="C70" s="29"/>
      <c r="D70" s="29"/>
      <c r="E70" s="30"/>
      <c r="F70" s="31"/>
    </row>
    <row r="71" spans="1:6" ht="15" customHeight="1">
      <c r="A71" s="27" t="s">
        <v>29</v>
      </c>
      <c r="B71" s="28"/>
      <c r="C71" s="29"/>
      <c r="D71" s="29"/>
      <c r="E71" s="30"/>
      <c r="F71" s="31"/>
    </row>
    <row r="72" spans="1:6" ht="15" customHeight="1">
      <c r="A72" s="27" t="s">
        <v>30</v>
      </c>
      <c r="B72" s="28"/>
      <c r="C72" s="29">
        <v>80</v>
      </c>
      <c r="D72" s="29">
        <v>304</v>
      </c>
      <c r="E72" s="30">
        <f>C72/$C$36</f>
        <v>1.279860751150275E-4</v>
      </c>
      <c r="F72" s="31">
        <f>D72/$D$36</f>
        <v>4.1166640937516082E-4</v>
      </c>
    </row>
    <row r="73" spans="1:6" ht="15" customHeight="1">
      <c r="A73" s="27" t="s">
        <v>31</v>
      </c>
      <c r="B73" s="28"/>
      <c r="C73" s="29">
        <v>0</v>
      </c>
      <c r="D73" s="29">
        <v>4</v>
      </c>
      <c r="E73" s="30"/>
      <c r="F73" s="31">
        <f>D73/$D$36</f>
        <v>5.4166632812521162E-6</v>
      </c>
    </row>
    <row r="74" spans="1:6" ht="15" customHeight="1">
      <c r="A74" s="27" t="s">
        <v>32</v>
      </c>
      <c r="B74" s="28"/>
      <c r="C74" s="29"/>
      <c r="D74" s="29"/>
      <c r="E74" s="30"/>
      <c r="F74" s="31"/>
    </row>
    <row r="75" spans="1:6" ht="15" customHeight="1">
      <c r="A75" s="22" t="s">
        <v>62</v>
      </c>
      <c r="B75" s="23"/>
      <c r="C75" s="24">
        <v>1703</v>
      </c>
      <c r="D75" s="24">
        <v>1134</v>
      </c>
      <c r="E75" s="25">
        <f>C75/$C$36</f>
        <v>2.7245035740111477E-3</v>
      </c>
      <c r="F75" s="26">
        <f>D75/$D$36</f>
        <v>1.5356240402349748E-3</v>
      </c>
    </row>
    <row r="76" spans="1:6" ht="15" customHeight="1">
      <c r="A76" s="33" t="s">
        <v>63</v>
      </c>
      <c r="B76" s="23"/>
      <c r="C76" s="24">
        <v>3449</v>
      </c>
      <c r="D76" s="24">
        <v>1275</v>
      </c>
      <c r="E76" s="25">
        <f>C76/$C$36</f>
        <v>5.5177996633966227E-3</v>
      </c>
      <c r="F76" s="26">
        <f>D76/$D$36</f>
        <v>1.7265614208991119E-3</v>
      </c>
    </row>
    <row r="77" spans="1:6" ht="15" customHeight="1">
      <c r="A77" s="27" t="s">
        <v>64</v>
      </c>
      <c r="B77" s="28"/>
      <c r="C77" s="29">
        <v>3449</v>
      </c>
      <c r="D77" s="29">
        <v>1275</v>
      </c>
      <c r="E77" s="30">
        <f>C77/$C$36</f>
        <v>5.5177996633966227E-3</v>
      </c>
      <c r="F77" s="31">
        <f>D77/$D$36</f>
        <v>1.7265614208991119E-3</v>
      </c>
    </row>
    <row r="78" spans="1:6" ht="15" customHeight="1">
      <c r="A78" s="41" t="s">
        <v>65</v>
      </c>
      <c r="B78" s="42"/>
      <c r="C78" s="43"/>
      <c r="D78" s="43"/>
      <c r="E78" s="44"/>
      <c r="F78" s="45"/>
    </row>
    <row r="79" spans="1:6" ht="15" customHeight="1">
      <c r="A79" s="46" t="s">
        <v>66</v>
      </c>
      <c r="B79" s="47"/>
      <c r="C79" s="48">
        <v>1142438</v>
      </c>
      <c r="D79" s="48">
        <v>1193913</v>
      </c>
      <c r="E79" s="49"/>
      <c r="F79" s="50"/>
    </row>
    <row r="80" spans="1:6" ht="8.25" customHeight="1">
      <c r="A80" s="85"/>
      <c r="B80" s="85"/>
      <c r="C80" s="85"/>
      <c r="D80" s="85"/>
      <c r="E80" s="85"/>
      <c r="F80" s="85"/>
    </row>
    <row r="81" spans="1:6" ht="8.25" customHeight="1">
      <c r="A81" s="85"/>
      <c r="B81" s="85"/>
      <c r="C81" s="85"/>
      <c r="D81" s="85"/>
      <c r="E81" s="85"/>
      <c r="F81" s="85"/>
    </row>
    <row r="82" spans="1:6" s="1" customFormat="1" ht="8.25" customHeight="1">
      <c r="A82" s="85"/>
      <c r="B82" s="85"/>
      <c r="C82" s="85"/>
      <c r="D82" s="85"/>
      <c r="E82" s="85"/>
      <c r="F82" s="85"/>
    </row>
    <row r="83" spans="1:6" ht="30" customHeight="1">
      <c r="A83" s="488" t="s">
        <v>67</v>
      </c>
      <c r="B83" s="489"/>
      <c r="C83" s="489"/>
      <c r="D83" s="489"/>
      <c r="E83" s="489"/>
      <c r="F83" s="490"/>
    </row>
    <row r="84" spans="1:6" ht="15" customHeight="1">
      <c r="A84" s="17" t="s">
        <v>68</v>
      </c>
      <c r="B84" s="18"/>
      <c r="C84" s="19">
        <v>53265</v>
      </c>
      <c r="D84" s="19">
        <v>242867</v>
      </c>
      <c r="E84" s="20">
        <v>1</v>
      </c>
      <c r="F84" s="21">
        <v>1</v>
      </c>
    </row>
    <row r="85" spans="1:6" ht="15" customHeight="1">
      <c r="A85" s="22" t="s">
        <v>69</v>
      </c>
      <c r="B85" s="23"/>
      <c r="C85" s="24">
        <v>27434</v>
      </c>
      <c r="D85" s="24">
        <v>223204</v>
      </c>
      <c r="E85" s="25">
        <f>C85/$C$84</f>
        <v>0.51504740448699893</v>
      </c>
      <c r="F85" s="26">
        <f>D85/$D$84</f>
        <v>0.91903799198738401</v>
      </c>
    </row>
    <row r="86" spans="1:6" ht="15" customHeight="1">
      <c r="A86" s="22" t="s">
        <v>70</v>
      </c>
      <c r="B86" s="23"/>
      <c r="C86" s="24">
        <v>62000</v>
      </c>
      <c r="D86" s="24">
        <v>62000</v>
      </c>
      <c r="E86" s="25">
        <f>C86/$C$84</f>
        <v>1.1639913639350419</v>
      </c>
      <c r="F86" s="26">
        <f>D86/$D$84</f>
        <v>0.25528375612989823</v>
      </c>
    </row>
    <row r="87" spans="1:6" ht="15" customHeight="1">
      <c r="A87" s="27" t="s">
        <v>71</v>
      </c>
      <c r="B87" s="28"/>
      <c r="C87" s="29">
        <v>62000</v>
      </c>
      <c r="D87" s="29">
        <v>62000</v>
      </c>
      <c r="E87" s="30">
        <f>C87/$C$84</f>
        <v>1.1639913639350419</v>
      </c>
      <c r="F87" s="31">
        <f>D87/$D$84</f>
        <v>0.25528375612989823</v>
      </c>
    </row>
    <row r="88" spans="1:6" ht="15" customHeight="1">
      <c r="A88" s="27" t="s">
        <v>72</v>
      </c>
      <c r="B88" s="28"/>
      <c r="C88" s="29"/>
      <c r="D88" s="29"/>
      <c r="E88" s="30"/>
      <c r="F88" s="31"/>
    </row>
    <row r="89" spans="1:6" ht="15" customHeight="1">
      <c r="A89" s="22" t="s">
        <v>73</v>
      </c>
      <c r="B89" s="23"/>
      <c r="C89" s="24">
        <v>279381</v>
      </c>
      <c r="D89" s="24">
        <v>279381</v>
      </c>
      <c r="E89" s="25">
        <f>C89/$C$84</f>
        <v>5.2451140523796118</v>
      </c>
      <c r="F89" s="26">
        <f>D89/$D$84</f>
        <v>1.1503456624407598</v>
      </c>
    </row>
    <row r="90" spans="1:6" ht="15" customHeight="1">
      <c r="A90" s="22" t="s">
        <v>74</v>
      </c>
      <c r="B90" s="23"/>
      <c r="C90" s="24">
        <v>34242</v>
      </c>
      <c r="D90" s="24">
        <v>34242</v>
      </c>
      <c r="E90" s="25">
        <f>C90/$C$84</f>
        <v>0.6428611658687694</v>
      </c>
      <c r="F90" s="26">
        <f>D90/$D$84</f>
        <v>0.14099074802258027</v>
      </c>
    </row>
    <row r="91" spans="1:6" ht="15" customHeight="1">
      <c r="A91" s="27" t="s">
        <v>75</v>
      </c>
      <c r="B91" s="28"/>
      <c r="C91" s="29">
        <v>12400</v>
      </c>
      <c r="D91" s="29">
        <v>12400</v>
      </c>
      <c r="E91" s="30">
        <f>C91/$C$84</f>
        <v>0.23279827278700835</v>
      </c>
      <c r="F91" s="31">
        <f>D91/$D$84</f>
        <v>5.1056751225979649E-2</v>
      </c>
    </row>
    <row r="92" spans="1:6" ht="15" customHeight="1">
      <c r="A92" s="27" t="s">
        <v>76</v>
      </c>
      <c r="B92" s="28"/>
      <c r="C92" s="29">
        <v>21842</v>
      </c>
      <c r="D92" s="29">
        <v>21842</v>
      </c>
      <c r="E92" s="30">
        <f>C92/$C$84</f>
        <v>0.41006289308176103</v>
      </c>
      <c r="F92" s="31">
        <f>D92/$D$84</f>
        <v>8.9933996796600607E-2</v>
      </c>
    </row>
    <row r="93" spans="1:6" ht="15" customHeight="1">
      <c r="A93" s="27" t="s">
        <v>77</v>
      </c>
      <c r="B93" s="28"/>
      <c r="C93" s="29"/>
      <c r="D93" s="29"/>
      <c r="E93" s="30"/>
      <c r="F93" s="31"/>
    </row>
    <row r="94" spans="1:6" ht="15" customHeight="1">
      <c r="A94" s="27" t="s">
        <v>78</v>
      </c>
      <c r="B94" s="28"/>
      <c r="C94" s="29"/>
      <c r="D94" s="29"/>
      <c r="E94" s="30"/>
      <c r="F94" s="31"/>
    </row>
    <row r="95" spans="1:6" ht="15" customHeight="1">
      <c r="A95" s="22" t="s">
        <v>79</v>
      </c>
      <c r="B95" s="23"/>
      <c r="C95" s="24"/>
      <c r="D95" s="24"/>
      <c r="E95" s="25"/>
      <c r="F95" s="26"/>
    </row>
    <row r="96" spans="1:6" ht="15" customHeight="1">
      <c r="A96" s="22" t="s">
        <v>80</v>
      </c>
      <c r="B96" s="23"/>
      <c r="C96" s="39">
        <v>-152475</v>
      </c>
      <c r="D96" s="40">
        <v>-91747</v>
      </c>
      <c r="E96" s="25">
        <f>C96/$C$84</f>
        <v>-2.8625739228386369</v>
      </c>
      <c r="F96" s="26">
        <f>D96/$D$84</f>
        <v>-0.37776643183306091</v>
      </c>
    </row>
    <row r="97" spans="1:6" ht="15" customHeight="1">
      <c r="A97" s="27" t="s">
        <v>81</v>
      </c>
      <c r="B97" s="28"/>
      <c r="C97" s="29"/>
      <c r="D97" s="29"/>
      <c r="E97" s="30"/>
      <c r="F97" s="31"/>
    </row>
    <row r="98" spans="1:6" ht="15" customHeight="1">
      <c r="A98" s="27" t="s">
        <v>82</v>
      </c>
      <c r="B98" s="28"/>
      <c r="C98" s="29"/>
      <c r="D98" s="29"/>
      <c r="E98" s="30"/>
      <c r="F98" s="31"/>
    </row>
    <row r="99" spans="1:6" ht="15" customHeight="1">
      <c r="A99" s="22" t="s">
        <v>83</v>
      </c>
      <c r="B99" s="23"/>
      <c r="C99" s="24">
        <v>98</v>
      </c>
      <c r="D99" s="24">
        <v>56</v>
      </c>
      <c r="E99" s="25">
        <f>C99/$C$84</f>
        <v>1.8398573171876467E-3</v>
      </c>
      <c r="F99" s="26">
        <f>D99/$D$84</f>
        <v>2.3057887650442424E-4</v>
      </c>
    </row>
    <row r="100" spans="1:6" ht="15" customHeight="1">
      <c r="A100" s="22" t="s">
        <v>84</v>
      </c>
      <c r="B100" s="23"/>
      <c r="C100" s="39">
        <v>-195812</v>
      </c>
      <c r="D100" s="40">
        <v>-60728</v>
      </c>
      <c r="E100" s="25">
        <f>C100/$C$84</f>
        <v>-3.676185112174974</v>
      </c>
      <c r="F100" s="26">
        <f>D100/$D$84</f>
        <v>-0.25004632164929774</v>
      </c>
    </row>
    <row r="101" spans="1:6" ht="15" customHeight="1">
      <c r="A101" s="22" t="s">
        <v>85</v>
      </c>
      <c r="B101" s="23"/>
      <c r="C101" s="24"/>
      <c r="D101" s="24"/>
      <c r="E101" s="25"/>
      <c r="F101" s="26"/>
    </row>
    <row r="102" spans="1:6" ht="15" customHeight="1">
      <c r="A102" s="22" t="s">
        <v>86</v>
      </c>
      <c r="B102" s="23"/>
      <c r="C102" s="24"/>
      <c r="D102" s="24"/>
      <c r="E102" s="25"/>
      <c r="F102" s="26"/>
    </row>
    <row r="103" spans="1:6" ht="15" customHeight="1">
      <c r="A103" s="22" t="s">
        <v>87</v>
      </c>
      <c r="B103" s="23"/>
      <c r="C103" s="24"/>
      <c r="D103" s="24"/>
      <c r="E103" s="25"/>
      <c r="F103" s="26"/>
    </row>
    <row r="104" spans="1:6" ht="15" customHeight="1">
      <c r="A104" s="32" t="s">
        <v>88</v>
      </c>
      <c r="B104" s="28"/>
      <c r="C104" s="29"/>
      <c r="D104" s="29"/>
      <c r="E104" s="30"/>
      <c r="F104" s="31"/>
    </row>
    <row r="105" spans="1:6" ht="15" customHeight="1">
      <c r="A105" s="27" t="s">
        <v>89</v>
      </c>
      <c r="B105" s="28"/>
      <c r="C105" s="29"/>
      <c r="D105" s="29"/>
      <c r="E105" s="30"/>
      <c r="F105" s="31"/>
    </row>
    <row r="106" spans="1:6" ht="15" customHeight="1">
      <c r="A106" s="27" t="s">
        <v>90</v>
      </c>
      <c r="B106" s="28"/>
      <c r="C106" s="29"/>
      <c r="D106" s="29"/>
      <c r="E106" s="30"/>
      <c r="F106" s="31"/>
    </row>
    <row r="107" spans="1:6" ht="15" customHeight="1">
      <c r="A107" s="27" t="s">
        <v>91</v>
      </c>
      <c r="B107" s="28"/>
      <c r="C107" s="29"/>
      <c r="D107" s="29"/>
      <c r="E107" s="30"/>
      <c r="F107" s="31"/>
    </row>
    <row r="108" spans="1:6" ht="15" customHeight="1">
      <c r="A108" s="27" t="s">
        <v>92</v>
      </c>
      <c r="B108" s="28"/>
      <c r="C108" s="29"/>
      <c r="D108" s="29"/>
      <c r="E108" s="30"/>
      <c r="F108" s="31"/>
    </row>
    <row r="109" spans="1:6" ht="15" customHeight="1">
      <c r="A109" s="22" t="s">
        <v>93</v>
      </c>
      <c r="B109" s="23"/>
      <c r="C109" s="24">
        <v>25831</v>
      </c>
      <c r="D109" s="24">
        <v>19663</v>
      </c>
      <c r="E109" s="25">
        <f t="shared" ref="E109" si="4">C109/$C$84</f>
        <v>0.48495259551300102</v>
      </c>
      <c r="F109" s="26">
        <f t="shared" ref="F109" si="5">D109/$D$84</f>
        <v>8.0962008012615952E-2</v>
      </c>
    </row>
    <row r="110" spans="1:6" ht="15" customHeight="1">
      <c r="A110" s="34" t="s">
        <v>94</v>
      </c>
      <c r="B110" s="35"/>
      <c r="C110" s="36">
        <v>57764</v>
      </c>
      <c r="D110" s="36">
        <v>57796</v>
      </c>
      <c r="E110" s="37">
        <v>1</v>
      </c>
      <c r="F110" s="38">
        <v>1</v>
      </c>
    </row>
    <row r="111" spans="1:6" ht="15" customHeight="1">
      <c r="A111" s="22" t="s">
        <v>95</v>
      </c>
      <c r="B111" s="23"/>
      <c r="C111" s="24">
        <v>17775</v>
      </c>
      <c r="D111" s="24">
        <v>16669</v>
      </c>
      <c r="E111" s="25">
        <f>C111/$C$110</f>
        <v>0.30771760958382383</v>
      </c>
      <c r="F111" s="26">
        <f>D111/$D$110</f>
        <v>0.28841096269638039</v>
      </c>
    </row>
    <row r="112" spans="1:6" ht="15" customHeight="1">
      <c r="A112" s="27" t="s">
        <v>96</v>
      </c>
      <c r="B112" s="28"/>
      <c r="C112" s="29">
        <v>1041</v>
      </c>
      <c r="D112" s="29">
        <v>1192</v>
      </c>
      <c r="E112" s="30">
        <f>C112/$C$110</f>
        <v>1.8021605151997785E-2</v>
      </c>
      <c r="F112" s="31">
        <f>D112/$D$110</f>
        <v>2.0624264654993424E-2</v>
      </c>
    </row>
    <row r="113" spans="1:6" ht="15" customHeight="1">
      <c r="A113" s="27" t="s">
        <v>97</v>
      </c>
      <c r="B113" s="28"/>
      <c r="C113" s="29"/>
      <c r="D113" s="29"/>
      <c r="E113" s="30"/>
      <c r="F113" s="31"/>
    </row>
    <row r="114" spans="1:6" ht="15" customHeight="1">
      <c r="A114" s="27" t="s">
        <v>98</v>
      </c>
      <c r="B114" s="28"/>
      <c r="C114" s="29"/>
      <c r="D114" s="29"/>
      <c r="E114" s="30"/>
      <c r="F114" s="31"/>
    </row>
    <row r="115" spans="1:6" ht="15" customHeight="1">
      <c r="A115" s="27" t="s">
        <v>99</v>
      </c>
      <c r="B115" s="28"/>
      <c r="C115" s="29">
        <v>16734</v>
      </c>
      <c r="D115" s="29">
        <v>15477</v>
      </c>
      <c r="E115" s="30">
        <f>C115/$C$110</f>
        <v>0.28969600443182603</v>
      </c>
      <c r="F115" s="31">
        <f>D115/$D$110</f>
        <v>0.26778669804138694</v>
      </c>
    </row>
    <row r="116" spans="1:6" ht="15" customHeight="1">
      <c r="A116" s="22" t="s">
        <v>100</v>
      </c>
      <c r="B116" s="23"/>
      <c r="C116" s="24">
        <v>30464</v>
      </c>
      <c r="D116" s="24">
        <v>32488</v>
      </c>
      <c r="E116" s="25">
        <f>C116/$C$110</f>
        <v>0.52738730004847312</v>
      </c>
      <c r="F116" s="26">
        <f>D116/$D$110</f>
        <v>0.56211502526126378</v>
      </c>
    </row>
    <row r="117" spans="1:6" ht="15" customHeight="1">
      <c r="A117" s="27" t="s">
        <v>101</v>
      </c>
      <c r="B117" s="28"/>
      <c r="C117" s="29"/>
      <c r="D117" s="29"/>
      <c r="E117" s="30"/>
      <c r="F117" s="31"/>
    </row>
    <row r="118" spans="1:6" ht="15" customHeight="1">
      <c r="A118" s="27" t="s">
        <v>102</v>
      </c>
      <c r="B118" s="28"/>
      <c r="C118" s="29">
        <v>26877</v>
      </c>
      <c r="D118" s="29">
        <v>28528</v>
      </c>
      <c r="E118" s="30">
        <f>C118/$C$110</f>
        <v>0.4652897998753549</v>
      </c>
      <c r="F118" s="31">
        <f>D118/$D$110</f>
        <v>0.49359817288393659</v>
      </c>
    </row>
    <row r="119" spans="1:6" ht="15" customHeight="1">
      <c r="A119" s="27" t="s">
        <v>103</v>
      </c>
      <c r="B119" s="28"/>
      <c r="C119" s="29"/>
      <c r="D119" s="29"/>
      <c r="E119" s="30"/>
      <c r="F119" s="31"/>
    </row>
    <row r="120" spans="1:6" ht="15" customHeight="1">
      <c r="A120" s="27" t="s">
        <v>30</v>
      </c>
      <c r="B120" s="28"/>
      <c r="C120" s="29"/>
      <c r="D120" s="29"/>
      <c r="E120" s="30"/>
      <c r="F120" s="31"/>
    </row>
    <row r="121" spans="1:6" ht="15" customHeight="1">
      <c r="A121" s="27" t="s">
        <v>104</v>
      </c>
      <c r="B121" s="28"/>
      <c r="C121" s="29">
        <v>3587</v>
      </c>
      <c r="D121" s="29">
        <v>3960</v>
      </c>
      <c r="E121" s="30">
        <f>C121/$C$110</f>
        <v>6.2097500173118207E-2</v>
      </c>
      <c r="F121" s="31">
        <f>D121/$D$110</f>
        <v>6.8516852377327145E-2</v>
      </c>
    </row>
    <row r="122" spans="1:6" ht="15" customHeight="1">
      <c r="A122" s="22" t="s">
        <v>105</v>
      </c>
      <c r="B122" s="23"/>
      <c r="C122" s="24"/>
      <c r="D122" s="24"/>
      <c r="E122" s="25"/>
      <c r="F122" s="26"/>
    </row>
    <row r="123" spans="1:6" ht="15" customHeight="1">
      <c r="A123" s="22" t="s">
        <v>106</v>
      </c>
      <c r="B123" s="23"/>
      <c r="C123" s="24">
        <v>9525</v>
      </c>
      <c r="D123" s="24">
        <v>8639</v>
      </c>
      <c r="E123" s="25">
        <f>C123/$C$110</f>
        <v>0.16489509036770306</v>
      </c>
      <c r="F123" s="26">
        <f>D123/$D$110</f>
        <v>0.14947401204235589</v>
      </c>
    </row>
    <row r="124" spans="1:6" ht="15" customHeight="1">
      <c r="A124" s="22" t="s">
        <v>107</v>
      </c>
      <c r="B124" s="23"/>
      <c r="C124" s="24"/>
      <c r="D124" s="24"/>
      <c r="E124" s="25"/>
      <c r="F124" s="26"/>
    </row>
    <row r="125" spans="1:6" ht="15" customHeight="1">
      <c r="A125" s="22" t="s">
        <v>108</v>
      </c>
      <c r="B125" s="23"/>
      <c r="C125" s="24"/>
      <c r="D125" s="24"/>
      <c r="E125" s="25"/>
      <c r="F125" s="26"/>
    </row>
    <row r="126" spans="1:6" ht="15" customHeight="1">
      <c r="A126" s="22" t="s">
        <v>109</v>
      </c>
      <c r="B126" s="23"/>
      <c r="C126" s="24"/>
      <c r="D126" s="24"/>
      <c r="E126" s="25"/>
      <c r="F126" s="26"/>
    </row>
    <row r="127" spans="1:6" ht="15" customHeight="1">
      <c r="A127" s="34" t="s">
        <v>110</v>
      </c>
      <c r="B127" s="35"/>
      <c r="C127" s="36">
        <v>1031409</v>
      </c>
      <c r="D127" s="36">
        <v>893250</v>
      </c>
      <c r="E127" s="37">
        <v>1</v>
      </c>
      <c r="F127" s="38">
        <v>1</v>
      </c>
    </row>
    <row r="128" spans="1:6" ht="15" customHeight="1">
      <c r="A128" s="22" t="s">
        <v>111</v>
      </c>
      <c r="B128" s="23"/>
      <c r="C128" s="24"/>
      <c r="D128" s="24"/>
      <c r="E128" s="25"/>
      <c r="F128" s="26"/>
    </row>
    <row r="129" spans="1:6" ht="15" customHeight="1">
      <c r="A129" s="22" t="s">
        <v>112</v>
      </c>
      <c r="B129" s="23"/>
      <c r="C129" s="24"/>
      <c r="D129" s="24"/>
      <c r="E129" s="25"/>
      <c r="F129" s="26"/>
    </row>
    <row r="130" spans="1:6" ht="15" customHeight="1">
      <c r="A130" s="27" t="s">
        <v>113</v>
      </c>
      <c r="B130" s="28"/>
      <c r="C130" s="29"/>
      <c r="D130" s="29"/>
      <c r="E130" s="30"/>
      <c r="F130" s="31"/>
    </row>
    <row r="131" spans="1:6" ht="15" customHeight="1">
      <c r="A131" s="27" t="s">
        <v>114</v>
      </c>
      <c r="B131" s="28"/>
      <c r="C131" s="29"/>
      <c r="D131" s="29"/>
      <c r="E131" s="30"/>
      <c r="F131" s="31"/>
    </row>
    <row r="132" spans="1:6" ht="15" customHeight="1">
      <c r="A132" s="22" t="s">
        <v>115</v>
      </c>
      <c r="B132" s="23"/>
      <c r="C132" s="24">
        <v>221802</v>
      </c>
      <c r="D132" s="24">
        <v>218497</v>
      </c>
      <c r="E132" s="25">
        <f>C132/$C$127</f>
        <v>0.21504757084725845</v>
      </c>
      <c r="F132" s="26">
        <f>D132/$D$127</f>
        <v>0.24460901203470473</v>
      </c>
    </row>
    <row r="133" spans="1:6" ht="15" customHeight="1">
      <c r="A133" s="27" t="s">
        <v>101</v>
      </c>
      <c r="B133" s="28"/>
      <c r="C133" s="29"/>
      <c r="D133" s="29"/>
      <c r="E133" s="30"/>
      <c r="F133" s="31"/>
    </row>
    <row r="134" spans="1:6" ht="15" customHeight="1">
      <c r="A134" s="27" t="s">
        <v>102</v>
      </c>
      <c r="B134" s="28"/>
      <c r="C134" s="29">
        <v>214209</v>
      </c>
      <c r="D134" s="29">
        <v>204661</v>
      </c>
      <c r="E134" s="30">
        <f>C134/$C$127</f>
        <v>0.20768579680805577</v>
      </c>
      <c r="F134" s="31">
        <f>D134/$D$127</f>
        <v>0.22911950741673665</v>
      </c>
    </row>
    <row r="135" spans="1:6" ht="15" customHeight="1">
      <c r="A135" s="27" t="s">
        <v>103</v>
      </c>
      <c r="B135" s="28"/>
      <c r="C135" s="29"/>
      <c r="D135" s="29"/>
      <c r="E135" s="30"/>
      <c r="F135" s="31"/>
    </row>
    <row r="136" spans="1:6" ht="15" customHeight="1">
      <c r="A136" s="27" t="s">
        <v>30</v>
      </c>
      <c r="B136" s="28"/>
      <c r="C136" s="29">
        <v>1626</v>
      </c>
      <c r="D136" s="29">
        <v>3492</v>
      </c>
      <c r="E136" s="30">
        <f>C136/$C$127</f>
        <v>1.5764842075258216E-3</v>
      </c>
      <c r="F136" s="31">
        <f>D136/$D$127</f>
        <v>3.9093198992443323E-3</v>
      </c>
    </row>
    <row r="137" spans="1:6" ht="15" customHeight="1">
      <c r="A137" s="27" t="s">
        <v>104</v>
      </c>
      <c r="B137" s="28"/>
      <c r="C137" s="29">
        <v>5967</v>
      </c>
      <c r="D137" s="29">
        <v>10344</v>
      </c>
      <c r="E137" s="30">
        <f>C137/$C$127</f>
        <v>5.7852898316768618E-3</v>
      </c>
      <c r="F137" s="31">
        <f>D137/$D$127</f>
        <v>1.1580184718723761E-2</v>
      </c>
    </row>
    <row r="138" spans="1:6" ht="15" customHeight="1">
      <c r="A138" s="22" t="s">
        <v>116</v>
      </c>
      <c r="B138" s="23"/>
      <c r="C138" s="24">
        <v>532208</v>
      </c>
      <c r="D138" s="24">
        <v>452430</v>
      </c>
      <c r="E138" s="25">
        <f>C138/$C$127</f>
        <v>0.51600092688739385</v>
      </c>
      <c r="F138" s="26">
        <f>D138/$D$127</f>
        <v>0.50649874055415622</v>
      </c>
    </row>
    <row r="139" spans="1:6" ht="15" customHeight="1">
      <c r="A139" s="22" t="s">
        <v>117</v>
      </c>
      <c r="B139" s="23"/>
      <c r="C139" s="24">
        <v>277399</v>
      </c>
      <c r="D139" s="24">
        <v>222323</v>
      </c>
      <c r="E139" s="25">
        <f>C139/$C$127</f>
        <v>0.2689515022653477</v>
      </c>
      <c r="F139" s="26">
        <f>D139/$D$127</f>
        <v>0.24889224741113911</v>
      </c>
    </row>
    <row r="140" spans="1:6" ht="15" customHeight="1">
      <c r="A140" s="27" t="s">
        <v>118</v>
      </c>
      <c r="B140" s="28"/>
      <c r="C140" s="29">
        <v>210738</v>
      </c>
      <c r="D140" s="29">
        <v>176455</v>
      </c>
      <c r="E140" s="30">
        <f>C140/$C$127</f>
        <v>0.20432049749420453</v>
      </c>
      <c r="F140" s="31">
        <f>D140/$D$127</f>
        <v>0.19754268122026308</v>
      </c>
    </row>
    <row r="141" spans="1:6" ht="15" customHeight="1">
      <c r="A141" s="27" t="s">
        <v>119</v>
      </c>
      <c r="B141" s="28"/>
      <c r="C141" s="29"/>
      <c r="D141" s="29"/>
      <c r="E141" s="30"/>
      <c r="F141" s="31"/>
    </row>
    <row r="142" spans="1:6" ht="15" customHeight="1">
      <c r="A142" s="27" t="s">
        <v>120</v>
      </c>
      <c r="B142" s="28"/>
      <c r="C142" s="29">
        <v>210738</v>
      </c>
      <c r="D142" s="29">
        <v>176455</v>
      </c>
      <c r="E142" s="30">
        <f>C142/$C$127</f>
        <v>0.20432049749420453</v>
      </c>
      <c r="F142" s="31">
        <f>D142/$D$127</f>
        <v>0.19754268122026308</v>
      </c>
    </row>
    <row r="143" spans="1:6" ht="15" customHeight="1">
      <c r="A143" s="27" t="s">
        <v>121</v>
      </c>
      <c r="B143" s="28"/>
      <c r="C143" s="29">
        <v>12361</v>
      </c>
      <c r="D143" s="29">
        <v>11015</v>
      </c>
      <c r="E143" s="30">
        <f>C143/$C$127</f>
        <v>1.1984576438638794E-2</v>
      </c>
      <c r="F143" s="31">
        <f>D143/$D$127</f>
        <v>1.2331374195354045E-2</v>
      </c>
    </row>
    <row r="144" spans="1:6" ht="15" customHeight="1">
      <c r="A144" s="27" t="s">
        <v>122</v>
      </c>
      <c r="B144" s="28"/>
      <c r="C144" s="29">
        <v>29810</v>
      </c>
      <c r="D144" s="29">
        <v>22780</v>
      </c>
      <c r="E144" s="30">
        <f>C144/$C$127</f>
        <v>2.8902210471306727E-2</v>
      </c>
      <c r="F144" s="31">
        <f>D144/$D$127</f>
        <v>2.5502378953260567E-2</v>
      </c>
    </row>
    <row r="145" spans="1:6" ht="15" customHeight="1">
      <c r="A145" s="27" t="s">
        <v>123</v>
      </c>
      <c r="B145" s="28"/>
      <c r="C145" s="29">
        <v>11951</v>
      </c>
      <c r="D145" s="29">
        <v>6888</v>
      </c>
      <c r="E145" s="30">
        <f>C145/$C$127</f>
        <v>1.1587061970566477E-2</v>
      </c>
      <c r="F145" s="31">
        <f>D145/$D$127</f>
        <v>7.711167086481948E-3</v>
      </c>
    </row>
    <row r="146" spans="1:6" ht="15" customHeight="1">
      <c r="A146" s="27" t="s">
        <v>124</v>
      </c>
      <c r="B146" s="28"/>
      <c r="C146" s="29"/>
      <c r="D146" s="29"/>
      <c r="E146" s="30"/>
      <c r="F146" s="31"/>
    </row>
    <row r="147" spans="1:6" ht="15" customHeight="1">
      <c r="A147" s="27" t="s">
        <v>125</v>
      </c>
      <c r="B147" s="28"/>
      <c r="C147" s="29">
        <v>4616</v>
      </c>
      <c r="D147" s="29">
        <v>4660</v>
      </c>
      <c r="E147" s="30">
        <f>C147/$C$127</f>
        <v>4.475431182004423E-3</v>
      </c>
      <c r="F147" s="31">
        <f>D147/$D$127</f>
        <v>5.2169045619927228E-3</v>
      </c>
    </row>
    <row r="148" spans="1:6" ht="15" customHeight="1">
      <c r="A148" s="27" t="s">
        <v>126</v>
      </c>
      <c r="B148" s="28"/>
      <c r="C148" s="29">
        <v>7923</v>
      </c>
      <c r="D148" s="29">
        <v>525</v>
      </c>
      <c r="E148" s="30">
        <f>C148/$C$127</f>
        <v>7.6817247086267424E-3</v>
      </c>
      <c r="F148" s="31">
        <f>D148/$D$127</f>
        <v>5.8774139378673382E-4</v>
      </c>
    </row>
    <row r="149" spans="1:6" ht="15" customHeight="1">
      <c r="A149" s="22" t="s">
        <v>127</v>
      </c>
      <c r="B149" s="23"/>
      <c r="C149" s="24"/>
      <c r="D149" s="24"/>
      <c r="E149" s="25"/>
      <c r="F149" s="26"/>
    </row>
    <row r="150" spans="1:6" ht="15" customHeight="1">
      <c r="A150" s="51" t="s">
        <v>128</v>
      </c>
      <c r="B150" s="52"/>
      <c r="C150" s="53"/>
      <c r="D150" s="53"/>
      <c r="E150" s="54"/>
      <c r="F150" s="55"/>
    </row>
    <row r="151" spans="1:6" ht="15" customHeight="1">
      <c r="A151" s="46" t="s">
        <v>129</v>
      </c>
      <c r="B151" s="47"/>
      <c r="C151" s="48">
        <v>1142438</v>
      </c>
      <c r="D151" s="48">
        <v>1193913</v>
      </c>
      <c r="E151" s="49"/>
      <c r="F151" s="50"/>
    </row>
    <row r="154" spans="1:6" ht="15" customHeight="1">
      <c r="A154" s="487"/>
      <c r="B154" s="487"/>
      <c r="C154" s="487"/>
      <c r="D154" s="487"/>
    </row>
    <row r="155" spans="1:6" ht="15" customHeight="1">
      <c r="A155" s="2"/>
    </row>
  </sheetData>
  <mergeCells count="3">
    <mergeCell ref="A154:D154"/>
    <mergeCell ref="A1:F1"/>
    <mergeCell ref="A83:F8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E4417-3A4A-4193-8649-B479A9C7999B}">
  <sheetPr>
    <tabColor rgb="FF1B2A4A"/>
  </sheetPr>
  <dimension ref="A1:F67"/>
  <sheetViews>
    <sheetView workbookViewId="0">
      <selection activeCell="F6" sqref="F6"/>
    </sheetView>
  </sheetViews>
  <sheetFormatPr defaultColWidth="11.42578125" defaultRowHeight="15" customHeight="1"/>
  <cols>
    <col min="1" max="1" width="80" customWidth="1"/>
    <col min="2" max="2" width="3.85546875" customWidth="1"/>
    <col min="3" max="3" width="24.7109375" style="147" customWidth="1"/>
    <col min="4" max="4" width="24.7109375" style="146" customWidth="1"/>
    <col min="5" max="5" width="18.140625" style="6" customWidth="1"/>
    <col min="6" max="6" width="18" style="6" customWidth="1"/>
  </cols>
  <sheetData>
    <row r="1" spans="1:6" s="5" customFormat="1" ht="35.25" customHeight="1">
      <c r="A1" s="488" t="s">
        <v>130</v>
      </c>
      <c r="B1" s="489"/>
      <c r="C1" s="489"/>
      <c r="D1" s="490"/>
      <c r="E1" s="8"/>
      <c r="F1" s="8"/>
    </row>
    <row r="2" spans="1:6" ht="24.75" customHeight="1">
      <c r="A2" s="57" t="s">
        <v>131</v>
      </c>
      <c r="B2" s="56"/>
      <c r="C2" s="140" t="s">
        <v>132</v>
      </c>
      <c r="D2" s="148" t="s">
        <v>133</v>
      </c>
    </row>
    <row r="3" spans="1:6" ht="15" customHeight="1">
      <c r="A3" s="547" t="s">
        <v>134</v>
      </c>
      <c r="B3" s="548"/>
      <c r="C3" s="491"/>
      <c r="D3" s="492"/>
    </row>
    <row r="4" spans="1:6" ht="15" customHeight="1">
      <c r="A4" s="22" t="s">
        <v>135</v>
      </c>
      <c r="B4" s="23"/>
      <c r="C4" s="141">
        <v>1313068</v>
      </c>
      <c r="D4" s="149">
        <v>1912676</v>
      </c>
      <c r="E4" s="7"/>
      <c r="F4" s="7"/>
    </row>
    <row r="5" spans="1:6" ht="15" customHeight="1">
      <c r="A5" s="27" t="s">
        <v>136</v>
      </c>
      <c r="B5" s="28"/>
      <c r="C5" s="142">
        <v>1303704</v>
      </c>
      <c r="D5" s="150">
        <v>1910141</v>
      </c>
    </row>
    <row r="6" spans="1:6" ht="15" customHeight="1">
      <c r="A6" s="27" t="s">
        <v>137</v>
      </c>
      <c r="B6" s="28"/>
      <c r="C6" s="142">
        <v>9364</v>
      </c>
      <c r="D6" s="150">
        <v>2535</v>
      </c>
    </row>
    <row r="7" spans="1:6" ht="15" customHeight="1">
      <c r="A7" s="32" t="s">
        <v>138</v>
      </c>
      <c r="B7" s="28"/>
      <c r="C7" s="142"/>
      <c r="D7" s="150"/>
    </row>
    <row r="8" spans="1:6" ht="15" customHeight="1">
      <c r="A8" s="33" t="s">
        <v>139</v>
      </c>
      <c r="B8" s="23"/>
      <c r="C8" s="141">
        <v>-33140</v>
      </c>
      <c r="D8" s="149">
        <v>11384</v>
      </c>
    </row>
    <row r="9" spans="1:6" ht="15" customHeight="1">
      <c r="A9" s="33" t="s">
        <v>140</v>
      </c>
      <c r="B9" s="23"/>
      <c r="C9" s="141">
        <v>6129</v>
      </c>
      <c r="D9" s="149">
        <v>25315</v>
      </c>
    </row>
    <row r="10" spans="1:6" ht="15" customHeight="1">
      <c r="A10" s="22" t="s">
        <v>141</v>
      </c>
      <c r="B10" s="23"/>
      <c r="C10" s="141">
        <v>-1137455</v>
      </c>
      <c r="D10" s="149">
        <v>-1450909</v>
      </c>
    </row>
    <row r="11" spans="1:6" ht="15" customHeight="1">
      <c r="A11" s="27" t="s">
        <v>142</v>
      </c>
      <c r="B11" s="28"/>
      <c r="C11" s="142">
        <v>-9533</v>
      </c>
      <c r="D11" s="150">
        <v>-51999</v>
      </c>
    </row>
    <row r="12" spans="1:6" ht="15" customHeight="1">
      <c r="A12" s="32" t="s">
        <v>143</v>
      </c>
      <c r="B12" s="28"/>
      <c r="C12" s="142">
        <v>-1127688</v>
      </c>
      <c r="D12" s="150">
        <v>-1398368</v>
      </c>
    </row>
    <row r="13" spans="1:6" ht="15" customHeight="1">
      <c r="A13" s="27" t="s">
        <v>138</v>
      </c>
      <c r="B13" s="28"/>
      <c r="C13" s="142">
        <v>-3</v>
      </c>
      <c r="D13" s="150">
        <v>-357</v>
      </c>
    </row>
    <row r="14" spans="1:6" ht="15" customHeight="1">
      <c r="A14" s="32" t="s">
        <v>144</v>
      </c>
      <c r="B14" s="28"/>
      <c r="C14" s="142">
        <v>-231</v>
      </c>
      <c r="D14" s="150">
        <v>-195</v>
      </c>
    </row>
    <row r="15" spans="1:6" ht="15" customHeight="1">
      <c r="A15" s="22" t="s">
        <v>145</v>
      </c>
      <c r="B15" s="23"/>
      <c r="C15" s="141">
        <v>31624</v>
      </c>
      <c r="D15" s="149">
        <v>16310</v>
      </c>
    </row>
    <row r="16" spans="1:6" ht="15" customHeight="1">
      <c r="A16" s="27" t="s">
        <v>146</v>
      </c>
      <c r="B16" s="28"/>
      <c r="C16" s="142">
        <v>5445</v>
      </c>
      <c r="D16" s="150">
        <v>2656</v>
      </c>
    </row>
    <row r="17" spans="1:4" ht="15" customHeight="1">
      <c r="A17" s="27" t="s">
        <v>147</v>
      </c>
      <c r="B17" s="28"/>
      <c r="C17" s="142">
        <v>26179</v>
      </c>
      <c r="D17" s="150">
        <v>13654</v>
      </c>
    </row>
    <row r="18" spans="1:4" ht="15" customHeight="1">
      <c r="A18" s="22" t="s">
        <v>148</v>
      </c>
      <c r="B18" s="23"/>
      <c r="C18" s="141">
        <v>-124720</v>
      </c>
      <c r="D18" s="149">
        <v>-129817</v>
      </c>
    </row>
    <row r="19" spans="1:4" ht="15" customHeight="1">
      <c r="A19" s="27" t="s">
        <v>149</v>
      </c>
      <c r="B19" s="28"/>
      <c r="C19" s="142">
        <v>-90043</v>
      </c>
      <c r="D19" s="150">
        <v>-93956</v>
      </c>
    </row>
    <row r="20" spans="1:4" ht="15" customHeight="1">
      <c r="A20" s="27" t="s">
        <v>150</v>
      </c>
      <c r="B20" s="28"/>
      <c r="C20" s="142">
        <v>-34677</v>
      </c>
      <c r="D20" s="150">
        <v>-35861</v>
      </c>
    </row>
    <row r="21" spans="1:4" ht="15" customHeight="1">
      <c r="A21" s="27" t="s">
        <v>151</v>
      </c>
      <c r="B21" s="28"/>
      <c r="C21" s="142"/>
      <c r="D21" s="150"/>
    </row>
    <row r="22" spans="1:4" ht="15" customHeight="1">
      <c r="A22" s="22" t="s">
        <v>152</v>
      </c>
      <c r="B22" s="23"/>
      <c r="C22" s="141">
        <v>-245240</v>
      </c>
      <c r="D22" s="149">
        <v>-425170</v>
      </c>
    </row>
    <row r="23" spans="1:4" ht="15" customHeight="1">
      <c r="A23" s="27" t="s">
        <v>153</v>
      </c>
      <c r="B23" s="28"/>
      <c r="C23" s="142">
        <v>-234655</v>
      </c>
      <c r="D23" s="150">
        <v>-415862</v>
      </c>
    </row>
    <row r="24" spans="1:4" ht="15" customHeight="1">
      <c r="A24" s="27" t="s">
        <v>154</v>
      </c>
      <c r="B24" s="28"/>
      <c r="C24" s="142">
        <v>-3267</v>
      </c>
      <c r="D24" s="150">
        <v>-3116</v>
      </c>
    </row>
    <row r="25" spans="1:4" ht="15" customHeight="1">
      <c r="A25" s="32" t="s">
        <v>155</v>
      </c>
      <c r="B25" s="28"/>
      <c r="C25" s="142">
        <v>-1</v>
      </c>
      <c r="D25" s="150">
        <v>0</v>
      </c>
    </row>
    <row r="26" spans="1:4" ht="15" customHeight="1">
      <c r="A26" s="27" t="s">
        <v>156</v>
      </c>
      <c r="B26" s="28"/>
      <c r="C26" s="142">
        <v>-7317</v>
      </c>
      <c r="D26" s="150">
        <v>-6192</v>
      </c>
    </row>
    <row r="27" spans="1:4" ht="15" customHeight="1">
      <c r="A27" s="27" t="s">
        <v>157</v>
      </c>
      <c r="B27" s="28"/>
      <c r="C27" s="142"/>
      <c r="D27" s="150"/>
    </row>
    <row r="28" spans="1:4" ht="15" customHeight="1">
      <c r="A28" s="22" t="s">
        <v>158</v>
      </c>
      <c r="B28" s="23"/>
      <c r="C28" s="141">
        <v>-36003</v>
      </c>
      <c r="D28" s="149">
        <v>-30024</v>
      </c>
    </row>
    <row r="29" spans="1:4" ht="15" customHeight="1">
      <c r="A29" s="22" t="s">
        <v>159</v>
      </c>
      <c r="B29" s="23"/>
      <c r="C29" s="141">
        <v>1172</v>
      </c>
      <c r="D29" s="149">
        <v>217</v>
      </c>
    </row>
    <row r="30" spans="1:4" ht="15" customHeight="1">
      <c r="A30" s="22" t="s">
        <v>160</v>
      </c>
      <c r="B30" s="23"/>
      <c r="C30" s="141"/>
      <c r="D30" s="149"/>
    </row>
    <row r="31" spans="1:4" ht="15" customHeight="1">
      <c r="A31" s="22" t="s">
        <v>161</v>
      </c>
      <c r="B31" s="23"/>
      <c r="C31" s="141">
        <v>-411</v>
      </c>
      <c r="D31" s="149">
        <v>-241</v>
      </c>
    </row>
    <row r="32" spans="1:4" ht="15" customHeight="1">
      <c r="A32" s="27" t="s">
        <v>162</v>
      </c>
      <c r="B32" s="28"/>
      <c r="C32" s="142"/>
      <c r="D32" s="150"/>
    </row>
    <row r="33" spans="1:4" ht="15" customHeight="1">
      <c r="A33" s="27" t="s">
        <v>163</v>
      </c>
      <c r="B33" s="28"/>
      <c r="C33" s="142">
        <v>-411</v>
      </c>
      <c r="D33" s="150">
        <v>-241</v>
      </c>
    </row>
    <row r="34" spans="1:4" ht="15" customHeight="1">
      <c r="A34" s="32" t="s">
        <v>164</v>
      </c>
      <c r="B34" s="28"/>
      <c r="C34" s="142"/>
      <c r="D34" s="150"/>
    </row>
    <row r="35" spans="1:4" ht="15" customHeight="1">
      <c r="A35" s="22" t="s">
        <v>165</v>
      </c>
      <c r="B35" s="23"/>
      <c r="C35" s="141"/>
      <c r="D35" s="149"/>
    </row>
    <row r="36" spans="1:4" ht="15" customHeight="1">
      <c r="A36" s="22" t="s">
        <v>166</v>
      </c>
      <c r="B36" s="23"/>
      <c r="C36" s="141"/>
      <c r="D36" s="149"/>
    </row>
    <row r="37" spans="1:4" ht="15" customHeight="1">
      <c r="A37" s="58" t="s">
        <v>167</v>
      </c>
      <c r="B37" s="59"/>
      <c r="C37" s="143">
        <v>-224976</v>
      </c>
      <c r="D37" s="151">
        <v>-70259</v>
      </c>
    </row>
    <row r="38" spans="1:4" ht="15" customHeight="1">
      <c r="A38" s="22" t="s">
        <v>168</v>
      </c>
      <c r="B38" s="23"/>
      <c r="C38" s="141">
        <v>350</v>
      </c>
      <c r="D38" s="149">
        <v>1903</v>
      </c>
    </row>
    <row r="39" spans="1:4" ht="15" customHeight="1">
      <c r="A39" s="27" t="s">
        <v>169</v>
      </c>
      <c r="B39" s="28"/>
      <c r="C39" s="142"/>
      <c r="D39" s="150"/>
    </row>
    <row r="40" spans="1:4" ht="15" customHeight="1">
      <c r="A40" s="27" t="s">
        <v>170</v>
      </c>
      <c r="B40" s="28"/>
      <c r="C40" s="142"/>
      <c r="D40" s="150"/>
    </row>
    <row r="41" spans="1:4" ht="15" customHeight="1">
      <c r="A41" s="27" t="s">
        <v>171</v>
      </c>
      <c r="B41" s="28"/>
      <c r="C41" s="142"/>
      <c r="D41" s="150"/>
    </row>
    <row r="42" spans="1:4" ht="15" customHeight="1">
      <c r="A42" s="27" t="s">
        <v>172</v>
      </c>
      <c r="B42" s="28"/>
      <c r="C42" s="142">
        <v>350</v>
      </c>
      <c r="D42" s="150">
        <v>1903</v>
      </c>
    </row>
    <row r="43" spans="1:4" ht="15" customHeight="1">
      <c r="A43" s="27" t="s">
        <v>173</v>
      </c>
      <c r="B43" s="28"/>
      <c r="C43" s="142">
        <v>247</v>
      </c>
      <c r="D43" s="150">
        <v>1890</v>
      </c>
    </row>
    <row r="44" spans="1:4" ht="15" customHeight="1">
      <c r="A44" s="27" t="s">
        <v>174</v>
      </c>
      <c r="B44" s="28"/>
      <c r="C44" s="142">
        <v>103</v>
      </c>
      <c r="D44" s="150">
        <v>13</v>
      </c>
    </row>
    <row r="45" spans="1:4" ht="15" customHeight="1">
      <c r="A45" s="27" t="s">
        <v>175</v>
      </c>
      <c r="B45" s="28"/>
      <c r="C45" s="142"/>
      <c r="D45" s="150"/>
    </row>
    <row r="46" spans="1:4" ht="15" customHeight="1">
      <c r="A46" s="22" t="s">
        <v>176</v>
      </c>
      <c r="B46" s="23"/>
      <c r="C46" s="141">
        <v>-39155</v>
      </c>
      <c r="D46" s="149">
        <v>-16235</v>
      </c>
    </row>
    <row r="47" spans="1:4" ht="15" customHeight="1">
      <c r="A47" s="27" t="s">
        <v>177</v>
      </c>
      <c r="B47" s="28"/>
      <c r="C47" s="142">
        <v>-22513</v>
      </c>
      <c r="D47" s="150">
        <v>-8959</v>
      </c>
    </row>
    <row r="48" spans="1:4" ht="15" customHeight="1">
      <c r="A48" s="27" t="s">
        <v>178</v>
      </c>
      <c r="B48" s="28"/>
      <c r="C48" s="142">
        <v>-16642</v>
      </c>
      <c r="D48" s="150">
        <v>-7276</v>
      </c>
    </row>
    <row r="49" spans="1:4" ht="15" customHeight="1">
      <c r="A49" s="27" t="s">
        <v>179</v>
      </c>
      <c r="B49" s="28"/>
      <c r="C49" s="142"/>
      <c r="D49" s="150"/>
    </row>
    <row r="50" spans="1:4" ht="15" customHeight="1">
      <c r="A50" s="22" t="s">
        <v>180</v>
      </c>
      <c r="B50" s="23"/>
      <c r="C50" s="141">
        <v>1643</v>
      </c>
      <c r="D50" s="149">
        <v>-3525</v>
      </c>
    </row>
    <row r="51" spans="1:4" ht="15" customHeight="1">
      <c r="A51" s="27" t="s">
        <v>181</v>
      </c>
      <c r="B51" s="28"/>
      <c r="C51" s="142">
        <v>1643</v>
      </c>
      <c r="D51" s="150">
        <v>-3525</v>
      </c>
    </row>
    <row r="52" spans="1:4" ht="15" customHeight="1">
      <c r="A52" s="27" t="s">
        <v>182</v>
      </c>
      <c r="B52" s="28"/>
      <c r="C52" s="142"/>
      <c r="D52" s="150"/>
    </row>
    <row r="53" spans="1:4" ht="15" customHeight="1">
      <c r="A53" s="22" t="s">
        <v>183</v>
      </c>
      <c r="B53" s="23"/>
      <c r="C53" s="141">
        <v>-332</v>
      </c>
      <c r="D53" s="149">
        <v>4900</v>
      </c>
    </row>
    <row r="54" spans="1:4" ht="15" customHeight="1">
      <c r="A54" s="22" t="s">
        <v>184</v>
      </c>
      <c r="B54" s="23"/>
      <c r="C54" s="141"/>
      <c r="D54" s="149"/>
    </row>
    <row r="55" spans="1:4" ht="15" customHeight="1">
      <c r="A55" s="27" t="s">
        <v>185</v>
      </c>
      <c r="B55" s="28"/>
      <c r="C55" s="142"/>
      <c r="D55" s="150"/>
    </row>
    <row r="56" spans="1:4" ht="15" customHeight="1">
      <c r="A56" s="27" t="s">
        <v>163</v>
      </c>
      <c r="B56" s="28"/>
      <c r="C56" s="142"/>
      <c r="D56" s="150"/>
    </row>
    <row r="57" spans="1:4" ht="15" customHeight="1">
      <c r="A57" s="22" t="s">
        <v>186</v>
      </c>
      <c r="B57" s="23"/>
      <c r="C57" s="141"/>
      <c r="D57" s="149"/>
    </row>
    <row r="58" spans="1:4" ht="15" customHeight="1">
      <c r="A58" s="27" t="s">
        <v>187</v>
      </c>
      <c r="B58" s="28"/>
      <c r="C58" s="142"/>
      <c r="D58" s="150"/>
    </row>
    <row r="59" spans="1:4" ht="15" customHeight="1">
      <c r="A59" s="27" t="s">
        <v>188</v>
      </c>
      <c r="B59" s="28"/>
      <c r="C59" s="142"/>
      <c r="D59" s="150"/>
    </row>
    <row r="60" spans="1:4" ht="15" customHeight="1">
      <c r="A60" s="27" t="s">
        <v>189</v>
      </c>
      <c r="B60" s="28"/>
      <c r="C60" s="142"/>
      <c r="D60" s="150"/>
    </row>
    <row r="61" spans="1:4" ht="15" customHeight="1">
      <c r="A61" s="58" t="s">
        <v>190</v>
      </c>
      <c r="B61" s="59"/>
      <c r="C61" s="143">
        <v>-37494</v>
      </c>
      <c r="D61" s="151">
        <v>-12957</v>
      </c>
    </row>
    <row r="62" spans="1:4" ht="15" customHeight="1">
      <c r="A62" s="58" t="s">
        <v>191</v>
      </c>
      <c r="B62" s="59"/>
      <c r="C62" s="143">
        <v>-262470</v>
      </c>
      <c r="D62" s="151">
        <v>-83216</v>
      </c>
    </row>
    <row r="63" spans="1:4" ht="15" customHeight="1">
      <c r="A63" s="22" t="s">
        <v>192</v>
      </c>
      <c r="B63" s="23"/>
      <c r="C63" s="141">
        <v>66658</v>
      </c>
      <c r="D63" s="149">
        <v>22488</v>
      </c>
    </row>
    <row r="64" spans="1:4" ht="15" customHeight="1">
      <c r="A64" s="60" t="s">
        <v>193</v>
      </c>
      <c r="B64" s="59"/>
      <c r="C64" s="143">
        <v>-195812</v>
      </c>
      <c r="D64" s="151">
        <v>-60728</v>
      </c>
    </row>
    <row r="65" spans="1:4" ht="15" customHeight="1">
      <c r="A65" s="549" t="s">
        <v>194</v>
      </c>
      <c r="B65" s="550"/>
      <c r="C65" s="493"/>
      <c r="D65" s="494"/>
    </row>
    <row r="66" spans="1:4" ht="15" customHeight="1">
      <c r="A66" s="61" t="s">
        <v>195</v>
      </c>
      <c r="B66" s="52"/>
      <c r="C66" s="144"/>
      <c r="D66" s="152"/>
    </row>
    <row r="67" spans="1:4" ht="15" customHeight="1">
      <c r="A67" s="46" t="s">
        <v>196</v>
      </c>
      <c r="B67" s="47"/>
      <c r="C67" s="145">
        <v>-195812</v>
      </c>
      <c r="D67" s="153">
        <v>-60728</v>
      </c>
    </row>
  </sheetData>
  <mergeCells count="3">
    <mergeCell ref="A1:D1"/>
    <mergeCell ref="A3:D3"/>
    <mergeCell ref="A65:D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01BB-3BD7-FD49-A521-1A0E7737B3BD}">
  <sheetPr>
    <tabColor rgb="FF1B2A4A"/>
  </sheetPr>
  <dimension ref="A1:H24"/>
  <sheetViews>
    <sheetView workbookViewId="0">
      <selection activeCell="H3" sqref="H3"/>
    </sheetView>
  </sheetViews>
  <sheetFormatPr defaultColWidth="11.42578125" defaultRowHeight="30" customHeight="1"/>
  <cols>
    <col min="1" max="1" width="61" style="4" customWidth="1"/>
    <col min="2" max="3" width="21" style="1" customWidth="1"/>
    <col min="4" max="4" width="26.7109375" style="1" customWidth="1"/>
    <col min="5" max="5" width="26.7109375" customWidth="1"/>
    <col min="6" max="6" width="3.85546875" customWidth="1"/>
    <col min="7" max="8" width="28.42578125" customWidth="1"/>
  </cols>
  <sheetData>
    <row r="1" spans="1:8" ht="35.25" customHeight="1">
      <c r="A1" s="155" t="s">
        <v>197</v>
      </c>
      <c r="B1" s="154" t="s">
        <v>133</v>
      </c>
      <c r="C1" s="154" t="s">
        <v>132</v>
      </c>
      <c r="D1" s="156" t="s">
        <v>198</v>
      </c>
      <c r="E1" s="157" t="s">
        <v>199</v>
      </c>
      <c r="F1" s="163"/>
      <c r="G1" s="77" t="s">
        <v>200</v>
      </c>
      <c r="H1" s="78" t="s">
        <v>201</v>
      </c>
    </row>
    <row r="2" spans="1:8" ht="30" customHeight="1">
      <c r="A2" s="498" t="s">
        <v>202</v>
      </c>
      <c r="B2" s="498"/>
      <c r="C2" s="498"/>
      <c r="D2" s="498"/>
      <c r="E2" s="498"/>
      <c r="F2" s="162"/>
      <c r="G2" s="79">
        <v>2023</v>
      </c>
      <c r="H2" s="158">
        <f>'BALANCE DE SITUACIÓN'!C36-'BALANCE DE SITUACIÓN'!C127</f>
        <v>-406341</v>
      </c>
    </row>
    <row r="3" spans="1:8" ht="30" customHeight="1">
      <c r="A3" s="62" t="s">
        <v>203</v>
      </c>
      <c r="B3" s="63">
        <f>'BALANCE DE SITUACIÓN'!D36/'BALANCE DE SITUACIÓN'!D127</f>
        <v>0.82671368597816963</v>
      </c>
      <c r="C3" s="63">
        <f>'BALANCE DE SITUACIÓN'!C36/'BALANCE DE SITUACIÓN'!C127</f>
        <v>0.60603310616835804</v>
      </c>
      <c r="D3" s="63">
        <f>AVERAGE(SUBSTITUTE('DATOS SECTOR'!D15,".",",")*1,SUBSTITUTE('DATOS SECTOR'!D16,".",",")*1,SUBSTITUTE('DATOS SECTOR'!D17,".",",")*1,SUBSTITUTE('DATOS SECTOR'!D19,".",",")*1)</f>
        <v>1.1400000000000001</v>
      </c>
      <c r="E3" s="64">
        <f>AVERAGE(SUBSTITUTE('DATOS SECTOR'!D6,".",",")*1,SUBSTITUTE('DATOS SECTOR'!D7,".",",")*1,SUBSTITUTE('DATOS SECTOR'!D8,".",",")*1,SUBSTITUTE('DATOS SECTOR'!D10,".",",")*1)</f>
        <v>1.1025</v>
      </c>
      <c r="F3" s="164"/>
      <c r="G3" s="173">
        <v>2022</v>
      </c>
      <c r="H3" s="177">
        <f>'BALANCE DE SITUACIÓN'!D36-'BALANCE DE SITUACIÓN'!D127</f>
        <v>-154788</v>
      </c>
    </row>
    <row r="4" spans="1:8" ht="30" customHeight="1">
      <c r="A4" s="65" t="s">
        <v>204</v>
      </c>
      <c r="B4" s="66">
        <f>('BALANCE DE SITUACIÓN'!D36-'BALANCE DE SITUACIÓN'!D38)/'BALANCE DE SITUACIÓN'!D127</f>
        <v>0.29170556954939825</v>
      </c>
      <c r="C4" s="66">
        <f>('BALANCE DE SITUACIÓN'!C36-'BALANCE DE SITUACIÓN'!C38)/'BALANCE DE SITUACIÓN'!C127</f>
        <v>0.19761607664854583</v>
      </c>
      <c r="D4" s="66"/>
      <c r="E4" s="165"/>
      <c r="F4" s="164"/>
      <c r="G4" s="166"/>
      <c r="H4" s="174"/>
    </row>
    <row r="5" spans="1:8" ht="30" customHeight="1">
      <c r="A5" s="62" t="s">
        <v>205</v>
      </c>
      <c r="B5" s="63">
        <f>'BALANCE DE SITUACIÓN'!D76/'BALANCE DE SITUACIÓN'!D127</f>
        <v>1.4273719563392107E-3</v>
      </c>
      <c r="C5" s="63">
        <f>'BALANCE DE SITUACIÓN'!C76/'BALANCE DE SITUACIÓN'!C127</f>
        <v>3.3439692692229755E-3</v>
      </c>
      <c r="D5" s="63">
        <f>AVERAGE('DATOS SECTOR'!R15/'DATOS SECTOR'!T15,'DATOS SECTOR'!R16/'DATOS SECTOR'!T16,'DATOS SECTOR'!R17/'DATOS SECTOR'!T17,'DATOS SECTOR'!R19/'DATOS SECTOR'!T19)</f>
        <v>0.20171872209755778</v>
      </c>
      <c r="E5" s="68">
        <f>AVERAGE('DATOS SECTOR'!R6/'DATOS SECTOR'!T6,'DATOS SECTOR'!R7/'DATOS SECTOR'!T7,'DATOS SECTOR'!R8/'DATOS SECTOR'!T8,'DATOS SECTOR'!R10/'DATOS SECTOR'!T10)</f>
        <v>0.15299031470210259</v>
      </c>
      <c r="F5" s="168"/>
      <c r="G5" s="176"/>
      <c r="H5" s="171"/>
    </row>
    <row r="6" spans="1:8" ht="30" customHeight="1">
      <c r="A6" s="65" t="s">
        <v>206</v>
      </c>
      <c r="B6" s="66">
        <f>H3/'BALANCE DE SITUACIÓN'!D79</f>
        <v>-0.12964763764193873</v>
      </c>
      <c r="C6" s="66">
        <f>H2/'BALANCE DE SITUACIÓN'!C79</f>
        <v>-0.35567882020731101</v>
      </c>
      <c r="D6" s="66">
        <f>AVERAGE(SUBSTITUTE('DATOS SECTOR'!V15,".",",")*1,SUBSTITUTE('DATOS SECTOR'!V16,".",",")*1,SUBSTITUTE('DATOS SECTOR'!V17,".",",")*1,SUBSTITUTE('DATOS SECTOR'!V19,".",",")*1)</f>
        <v>5.7500000000000002E-2</v>
      </c>
      <c r="E6" s="165">
        <f>AVERAGE(SUBSTITUTE('DATOS SECTOR'!V6,".",",")*1,SUBSTITUTE('DATOS SECTOR'!V7,".",",")*1,SUBSTITUTE('DATOS SECTOR'!V8,".",",")*1,SUBSTITUTE('DATOS SECTOR'!V10,".",",")*1)</f>
        <v>3.7499999999999992E-2</v>
      </c>
      <c r="F6" s="179"/>
      <c r="G6" s="159"/>
      <c r="H6" s="172"/>
    </row>
    <row r="7" spans="1:8" ht="24.75" customHeight="1">
      <c r="A7" s="62" t="s">
        <v>207</v>
      </c>
      <c r="B7" s="63">
        <f>H3/'BALANCE DE SITUACIÓN'!D127</f>
        <v>-0.1732863140218304</v>
      </c>
      <c r="C7" s="63">
        <f>H2/'BALANCE DE SITUACIÓN'!C127</f>
        <v>-0.39396689383164196</v>
      </c>
      <c r="D7" s="63">
        <f>AVERAGE((SUBSTITUTE('DATOS SECTOR'!D15,".",",")*1-1),(SUBSTITUTE('DATOS SECTOR'!D16,".",",")*1-1),(SUBSTITUTE('DATOS SECTOR'!D17,".",",")*1-1),(SUBSTITUTE('DATOS SECTOR'!D19,".",",")*1-1))</f>
        <v>0.14000000000000004</v>
      </c>
      <c r="E7" s="181">
        <f>AVERAGE((SUBSTITUTE('DATOS SECTOR'!D6,".",",")*1-1),(SUBSTITUTE('DATOS SECTOR'!D7,".",",")*1-1),(SUBSTITUTE('DATOS SECTOR'!D8,".",",")*1-1),(SUBSTITUTE('DATOS SECTOR'!D10,".",",")*1-1))</f>
        <v>0.10250000000000001</v>
      </c>
      <c r="F7" s="180"/>
      <c r="G7" s="159"/>
      <c r="H7" s="172"/>
    </row>
    <row r="8" spans="1:8" ht="30" customHeight="1">
      <c r="A8" s="495" t="s">
        <v>208</v>
      </c>
      <c r="B8" s="496"/>
      <c r="C8" s="496"/>
      <c r="D8" s="496"/>
      <c r="E8" s="497"/>
      <c r="F8" s="168"/>
      <c r="G8" s="169"/>
      <c r="H8" s="167"/>
    </row>
    <row r="9" spans="1:8" ht="30" customHeight="1">
      <c r="A9" s="65" t="s">
        <v>209</v>
      </c>
      <c r="B9" s="66">
        <f>('BALANCE DE SITUACIÓN'!D127+'BALANCE DE SITUACIÓN'!D110)/('BALANCE DE SITUACIÓN'!D84+('BALANCE DE SITUACIÓN'!D127+'BALANCE DE SITUACIÓN'!D110))</f>
        <v>0.79657898021045082</v>
      </c>
      <c r="C9" s="66">
        <f>('BALANCE DE SITUACIÓN'!C110+'BALANCE DE SITUACIÓN'!C127)/('BALANCE DE SITUACIÓN'!C84+('BALANCE DE SITUACIÓN'!C110+'BALANCE DE SITUACIÓN'!C127))</f>
        <v>0.95337602565740986</v>
      </c>
      <c r="D9" s="66">
        <f>AVERAGE(SUBSTITUTE('DATOS SECTOR'!F15,".",",")*1,SUBSTITUTE('DATOS SECTOR'!F16,".",",")*1,SUBSTITUTE('DATOS SECTOR'!F17,".",",")*1,SUBSTITUTE('DATOS SECTOR'!F19,".",",")*1)/100</f>
        <v>0.638625</v>
      </c>
      <c r="E9" s="182">
        <f>AVERAGE(SUBSTITUTE('DATOS SECTOR'!F6,".",",")*1,SUBSTITUTE('DATOS SECTOR'!F7,".",",")*1,SUBSTITUTE('DATOS SECTOR'!F8,".",",")*1,SUBSTITUTE('DATOS SECTOR'!F10,".",",")*1)/100</f>
        <v>0.56712499999999999</v>
      </c>
      <c r="F9" s="179"/>
      <c r="G9" s="176"/>
      <c r="H9" s="171"/>
    </row>
    <row r="10" spans="1:8" ht="30" customHeight="1">
      <c r="A10" s="62" t="s">
        <v>210</v>
      </c>
      <c r="B10" s="63">
        <f>'BALANCE DE SITUACIÓN'!D84/('BALANCE DE SITUACIÓN'!D127+'BALANCE DE SITUACIÓN'!D110)</f>
        <v>0.25536829974575365</v>
      </c>
      <c r="C10" s="63">
        <f>'BALANCE DE SITUACIÓN'!C84/('BALANCE DE SITUACIÓN'!C110+'BALANCE DE SITUACIÓN'!C127)</f>
        <v>4.8904076762828312E-2</v>
      </c>
      <c r="D10" s="63">
        <f>AVERAGE('DATOS SECTOR'!N15/('DATOS SECTOR'!J15-'DATOS SECTOR'!N15),'DATOS SECTOR'!N16/('DATOS SECTOR'!J16-'DATOS SECTOR'!N16),'DATOS SECTOR'!N17/('DATOS SECTOR'!J17-'DATOS SECTOR'!N17),'DATOS SECTOR'!N19/('DATOS SECTOR'!J19-'DATOS SECTOR'!N19))</f>
        <v>0.58122673860306739</v>
      </c>
      <c r="E10" s="183">
        <f>AVERAGE('DATOS SECTOR'!N6/('DATOS SECTOR'!J6-'DATOS SECTOR'!N6),'DATOS SECTOR'!N7/('DATOS SECTOR'!J7-'DATOS SECTOR'!N7),'DATOS SECTOR'!N8/('DATOS SECTOR'!J8-'DATOS SECTOR'!N8),'DATOS SECTOR'!N10/('DATOS SECTOR'!J10-'DATOS SECTOR'!N10))</f>
        <v>0.79400206951207808</v>
      </c>
      <c r="F10" s="180"/>
      <c r="G10" s="207"/>
      <c r="H10" s="172"/>
    </row>
    <row r="11" spans="1:8" ht="30" customHeight="1">
      <c r="A11" s="65" t="s">
        <v>211</v>
      </c>
      <c r="B11" s="66">
        <f>'BALANCE DE SITUACIÓN'!D79/('BALANCE DE SITUACIÓN'!D110+'BALANCE DE SITUACIÓN'!D127)</f>
        <v>1.2553682997457536</v>
      </c>
      <c r="C11" s="66">
        <f>'BALANCE DE SITUACIÓN'!C79/('BALANCE DE SITUACIÓN'!C110+'BALANCE DE SITUACIÓN'!C127)</f>
        <v>1.0489040767628284</v>
      </c>
      <c r="D11" s="66">
        <f>AVERAGE(SUBSTITUTE('DATOS SECTOR'!Z15,".",",")*1,SUBSTITUTE('DATOS SECTOR'!Z16,".",",")*1,SUBSTITUTE('DATOS SECTOR'!Z17,".",",")*1,SUBSTITUTE('DATOS SECTOR'!Z19,".",",")*1)</f>
        <v>1.1400000000000001</v>
      </c>
      <c r="E11" s="69">
        <f>AVERAGE(SUBSTITUTE('DATOS SECTOR'!Z6,".",",")*1,SUBSTITUTE('DATOS SECTOR'!Z7,".",",")*1,SUBSTITUTE('DATOS SECTOR'!Z8,".",",")*1,SUBSTITUTE('DATOS SECTOR'!Z10,".",",")*1)</f>
        <v>1.1025</v>
      </c>
      <c r="F11" s="168"/>
      <c r="G11" s="166"/>
      <c r="H11" s="172"/>
    </row>
    <row r="12" spans="1:8" ht="30" customHeight="1">
      <c r="A12" s="62" t="s">
        <v>212</v>
      </c>
      <c r="B12" s="63">
        <f>'BALANCE DE SITUACIÓN'!D127/('BALANCE DE SITUACIÓN'!D110+'BALANCE DE SITUACIÓN'!D127)</f>
        <v>0.93922901731356845</v>
      </c>
      <c r="C12" s="63">
        <f>'BALANCE DE SITUACIÓN'!C127/('BALANCE DE SITUACIÓN'!C110+'BALANCE DE SITUACIÓN'!C127)</f>
        <v>0.94696526630755629</v>
      </c>
      <c r="D12" s="63">
        <f>AVERAGE('DATOS SECTOR'!T15/('DATOS SECTOR'!J15-'DATOS SECTOR'!N15),'DATOS SECTOR'!T16/('DATOS SECTOR'!J16-'DATOS SECTOR'!N16),'DATOS SECTOR'!T17/('DATOS SECTOR'!J17-'DATOS SECTOR'!N17),'DATOS SECTOR'!T19/('DATOS SECTOR'!J19-'DATOS SECTOR'!N19))</f>
        <v>0.7321134711399897</v>
      </c>
      <c r="E12" s="181">
        <f>AVERAGE('DATOS SECTOR'!T6/('DATOS SECTOR'!J6-'DATOS SECTOR'!N6),'DATOS SECTOR'!T7/('DATOS SECTOR'!J7-'DATOS SECTOR'!N7),'DATOS SECTOR'!T8/('DATOS SECTOR'!J8-'DATOS SECTOR'!N8),'DATOS SECTOR'!T10/('DATOS SECTOR'!J10-'DATOS SECTOR'!N10))</f>
        <v>0.77761284441658085</v>
      </c>
      <c r="F12" s="180"/>
      <c r="G12" s="11"/>
      <c r="H12" s="172"/>
    </row>
    <row r="13" spans="1:8" ht="30" customHeight="1">
      <c r="A13" s="70" t="s">
        <v>213</v>
      </c>
      <c r="B13" s="66">
        <f>(-1)*('CUENTA DE PÉRDIDAS Y GANANCIAS'!D46/'CUENTA DE PÉRDIDAS Y GANANCIAS'!D5)</f>
        <v>8.4993725594079174E-3</v>
      </c>
      <c r="C13" s="66">
        <f>(-1)*('CUENTA DE PÉRDIDAS Y GANANCIAS'!C46/'CUENTA DE PÉRDIDAS Y GANANCIAS'!C5)</f>
        <v>3.0033657946895921E-2</v>
      </c>
      <c r="D13" s="66">
        <f>AVERAGE('DATOS SECTOR'!AD15/IF(ISTEXT('DATOS SECTOR'!AF15),SUBSTITUTE('DATOS SECTOR'!AF15,",","")*1,'DATOS SECTOR'!AF15),'DATOS SECTOR'!AD16/IF(ISTEXT('DATOS SECTOR'!AF16),SUBSTITUTE('DATOS SECTOR'!AF16,",","")*1,'DATOS SECTOR'!AF16),'DATOS SECTOR'!AD17/'DATOS SECTOR'!AF17,'DATOS SECTOR'!AD19/IF(ISTEXT('DATOS SECTOR'!AF19),SUBSTITUTE('DATOS SECTOR'!AF19,",","")*1,'DATOS SECTOR'!AF19))</f>
        <v>9.0343899871336668E-3</v>
      </c>
      <c r="E13" s="67">
        <f>AVERAGE('DATOS SECTOR'!AD6/'DATOS SECTOR'!AF6,'DATOS SECTOR'!AD7/'DATOS SECTOR'!AF7,'DATOS SECTOR'!AD8/'DATOS SECTOR'!AF8,'DATOS SECTOR'!AD10/IF(ISTEXT('DATOS SECTOR'!AF10),SUBSTITUTE('DATOS SECTOR'!AF10,",","")*1,'DATOS SECTOR'!AF10))</f>
        <v>1.8706742061269321E-2</v>
      </c>
      <c r="F13" s="168"/>
      <c r="G13" s="169"/>
      <c r="H13" s="170"/>
    </row>
    <row r="14" spans="1:8" ht="30" customHeight="1">
      <c r="A14" s="62" t="s">
        <v>214</v>
      </c>
      <c r="B14" s="63">
        <f>ABS('CUENTA DE PÉRDIDAS Y GANANCIAS'!D46)/('BALANCE DE SITUACIÓN'!D116+'BALANCE DE SITUACIÓN'!D122+'BALANCE DE SITUACIÓN'!D132+'BALANCE DE SITUACIÓN'!D138)</f>
        <v>2.3080258453402329E-2</v>
      </c>
      <c r="C14" s="63">
        <f>ABS('CUENTA DE PÉRDIDAS Y GANANCIAS'!C46)/('BALANCE DE SITUACIÓN'!C116+'BALANCE DE SITUACIÓN'!C122+'BALANCE DE SITUACIÓN'!C132+'BALANCE DE SITUACIÓN'!C138)</f>
        <v>4.9912425395870354E-2</v>
      </c>
      <c r="D14" s="63"/>
      <c r="E14" s="181"/>
      <c r="F14" s="179"/>
      <c r="G14" s="184"/>
      <c r="H14" s="170"/>
    </row>
    <row r="15" spans="1:8" ht="24.75" customHeight="1">
      <c r="A15" s="65" t="s">
        <v>215</v>
      </c>
      <c r="B15" s="4" t="s">
        <v>216</v>
      </c>
      <c r="C15" s="4" t="s">
        <v>216</v>
      </c>
      <c r="D15" s="66"/>
      <c r="E15" s="165"/>
      <c r="F15" s="179"/>
      <c r="G15" s="184"/>
      <c r="H15" s="167"/>
    </row>
    <row r="16" spans="1:8" ht="30" customHeight="1">
      <c r="A16" s="495" t="s">
        <v>217</v>
      </c>
      <c r="B16" s="496"/>
      <c r="C16" s="496"/>
      <c r="D16" s="496"/>
      <c r="E16" s="496"/>
      <c r="F16" s="179"/>
      <c r="G16" s="11"/>
      <c r="H16" s="171"/>
    </row>
    <row r="17" spans="1:8" ht="30" customHeight="1">
      <c r="A17" s="62" t="s">
        <v>218</v>
      </c>
      <c r="B17" s="63">
        <f>'CUENTA DE PÉRDIDAS Y GANANCIAS'!D4/'BALANCE DE SITUACIÓN'!D79</f>
        <v>1.6020229279687883</v>
      </c>
      <c r="C17" s="63">
        <f>'CUENTA DE PÉRDIDAS Y GANANCIAS'!C4/'BALANCE DE SITUACIÓN'!C79</f>
        <v>1.1493560263226539</v>
      </c>
      <c r="D17" s="63">
        <f>AVERAGE(SUBSTITUTE('DATOS SECTOR'!AH15,".",",")*1,SUBSTITUTE('DATOS SECTOR'!AH16,".",",")*1,SUBSTITUTE('DATOS SECTOR'!AH17,".",",")*1,SUBSTITUTE('DATOS SECTOR'!AH19,".",",")*1)</f>
        <v>1.7724999999999997</v>
      </c>
      <c r="E17" s="181">
        <f>AVERAGE(SUBSTITUTE('DATOS SECTOR'!AH6,".",",")*1,SUBSTITUTE('DATOS SECTOR'!AH7,".",",")*1,SUBSTITUTE('DATOS SECTOR'!AH8,".",",")*1,SUBSTITUTE('DATOS SECTOR'!AH10,".",",")*1)</f>
        <v>1.42</v>
      </c>
      <c r="F17" s="180"/>
      <c r="G17" s="167"/>
      <c r="H17" s="170"/>
    </row>
    <row r="18" spans="1:8" ht="30" customHeight="1">
      <c r="A18" s="70" t="s">
        <v>219</v>
      </c>
      <c r="B18" s="66">
        <f>'CUENTA DE PÉRDIDAS Y GANANCIAS'!D5/'BALANCE DE SITUACIÓN'!D3</f>
        <v>4.1939550028433352</v>
      </c>
      <c r="C18" s="66">
        <f>'CUENTA DE PÉRDIDAS Y GANANCIAS'!C5/'BALANCE DE SITUACIÓN'!C3</f>
        <v>2.5198677928755049</v>
      </c>
      <c r="D18" s="66"/>
      <c r="E18" s="67"/>
      <c r="F18" s="168"/>
      <c r="G18" s="175"/>
      <c r="H18" s="170"/>
    </row>
    <row r="19" spans="1:8" ht="30" customHeight="1">
      <c r="A19" s="71" t="s">
        <v>220</v>
      </c>
      <c r="B19" s="63">
        <f>'CUENTA DE PÉRDIDAS Y GANANCIAS'!D5/'BALANCE DE SITUACIÓN'!D36</f>
        <v>2.5866476541785497</v>
      </c>
      <c r="C19" s="63">
        <f>'CUENTA DE PÉRDIDAS Y GANANCIAS'!C5/'BALANCE DE SITUACIÓN'!C36</f>
        <v>2.0856994758970222</v>
      </c>
      <c r="D19" s="63"/>
      <c r="E19" s="181"/>
      <c r="F19" s="179"/>
      <c r="G19" s="11"/>
      <c r="H19" s="172"/>
    </row>
    <row r="20" spans="1:8" ht="30" customHeight="1">
      <c r="A20" s="65" t="s">
        <v>221</v>
      </c>
      <c r="B20" s="66">
        <f>(-'CUENTA DE PÉRDIDAS Y GANANCIAS'!D10-'CUENTA DE PÉRDIDAS Y GANANCIAS'!D8)/'BALANCE DE SITUACIÓN'!D38</f>
        <v>3.0122139545005608</v>
      </c>
      <c r="C20" s="66">
        <f>(-'CUENTA DE PÉRDIDAS Y GANANCIAS'!C10-'CUENTA DE PÉRDIDAS Y GANANCIAS'!C8)/'BALANCE DE SITUACIÓN'!C38</f>
        <v>2.7788935180239527</v>
      </c>
      <c r="D20" s="66">
        <f>AVERAGE(SUBSTITUTE('DATOS SECTOR'!AJ15,".",",")*1,SUBSTITUTE('DATOS SECTOR'!AJ16,".",",")*1,SUBSTITUTE('DATOS SECTOR'!AJ17,".",",")*1,SUBSTITUTE('DATOS SECTOR'!AJ19,".",",")*1)</f>
        <v>10.2525</v>
      </c>
      <c r="E20" s="165">
        <f>AVERAGE(SUBSTITUTE('DATOS SECTOR'!AJ6,".",",")*1,SUBSTITUTE('DATOS SECTOR'!AJ7,".",",")*1,SUBSTITUTE('DATOS SECTOR'!AJ8,".",",")*1,SUBSTITUTE('DATOS SECTOR'!AJ10,".",",")*1)</f>
        <v>8.7974999999999994</v>
      </c>
      <c r="F20" s="179"/>
      <c r="G20" s="167"/>
      <c r="H20" s="170"/>
    </row>
    <row r="21" spans="1:8" ht="24.75" customHeight="1">
      <c r="A21" s="62" t="s">
        <v>222</v>
      </c>
      <c r="B21" s="63">
        <f>'CUENTA DE PÉRDIDAS Y GANANCIAS'!D5/('BALANCE DE SITUACIÓN'!D54+'BALANCE DE SITUACIÓN'!D55-'BALANCE DE SITUACIÓN'!D148)</f>
        <v>7.5959605198275728</v>
      </c>
      <c r="C21" s="63">
        <f>'CUENTA DE PÉRDIDAS Y GANANCIAS'!C5/('BALANCE DE SITUACIÓN'!C54+'BALANCE DE SITUACIÓN'!C55-'BALANCE DE SITUACIÓN'!C148)</f>
        <v>7.5435356200527703</v>
      </c>
      <c r="D21" s="63"/>
      <c r="E21" s="181"/>
      <c r="F21" s="180"/>
      <c r="G21" s="184"/>
      <c r="H21" s="167"/>
    </row>
    <row r="22" spans="1:8" ht="30" customHeight="1">
      <c r="A22" s="495" t="s">
        <v>223</v>
      </c>
      <c r="B22" s="496"/>
      <c r="C22" s="496"/>
      <c r="D22" s="496"/>
      <c r="E22" s="497"/>
      <c r="F22" s="168"/>
      <c r="G22" s="175"/>
      <c r="H22" s="160"/>
    </row>
    <row r="23" spans="1:8" ht="30" customHeight="1">
      <c r="A23" s="65" t="s">
        <v>224</v>
      </c>
      <c r="B23" s="72">
        <f>(('BALANCE DE SITUACIÓN'!D54+'BALANCE DE SITUACIÓN'!D55-'BALANCE DE SITUACIÓN'!D148)/'CUENTA DE PÉRDIDAS Y GANANCIAS'!D4)*365</f>
        <v>47.988169454732535</v>
      </c>
      <c r="C23" s="72">
        <f>(('BALANCE DE SITUACIÓN'!C54+'BALANCE DE SITUACIÓN'!C55-'BALANCE DE SITUACIÓN'!C148)/'CUENTA DE PÉRDIDAS Y GANANCIAS'!C4)*365</f>
        <v>48.04074122589234</v>
      </c>
      <c r="D23" s="73"/>
      <c r="E23" s="185"/>
      <c r="F23" s="179"/>
      <c r="G23" s="11"/>
      <c r="H23" s="169"/>
    </row>
    <row r="24" spans="1:8" ht="30" customHeight="1">
      <c r="A24" s="74" t="s">
        <v>225</v>
      </c>
      <c r="B24" s="75">
        <f>ABS(('BALANCE DE SITUACIÓN'!D139/'CUENTA DE PÉRDIDAS Y GANANCIAS'!D10)*365)</f>
        <v>55.929003817606755</v>
      </c>
      <c r="C24" s="75">
        <f>ABS(('BALANCE DE SITUACIÓN'!C139/'CUENTA DE PÉRDIDAS Y GANANCIAS'!C10)*365)</f>
        <v>89.015068727993636</v>
      </c>
      <c r="D24" s="76"/>
      <c r="E24" s="187"/>
      <c r="F24" s="186"/>
      <c r="G24" s="178"/>
      <c r="H24" s="161"/>
    </row>
  </sheetData>
  <mergeCells count="4">
    <mergeCell ref="A22:E22"/>
    <mergeCell ref="A2:E2"/>
    <mergeCell ref="A8:E8"/>
    <mergeCell ref="A16: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69926-148A-45A9-991C-6860B6DF74D7}">
  <sheetPr>
    <tabColor rgb="FF1B2A4A"/>
  </sheetPr>
  <dimension ref="A1:AK49"/>
  <sheetViews>
    <sheetView workbookViewId="0">
      <selection activeCell="D26" sqref="D26"/>
    </sheetView>
  </sheetViews>
  <sheetFormatPr defaultColWidth="8.85546875" defaultRowHeight="15"/>
  <cols>
    <col min="1" max="1" width="41.85546875" customWidth="1"/>
    <col min="2" max="3" width="6.7109375" customWidth="1"/>
    <col min="4" max="4" width="13.7109375" customWidth="1"/>
    <col min="5" max="5" width="7.28515625" customWidth="1"/>
    <col min="6" max="6" width="13.7109375" customWidth="1"/>
    <col min="7" max="7" width="7.28515625" customWidth="1"/>
    <col min="8" max="8" width="13.7109375" customWidth="1"/>
    <col min="9" max="9" width="7.28515625" customWidth="1"/>
    <col min="10" max="10" width="13.7109375" customWidth="1"/>
    <col min="11" max="11" width="7.28515625" customWidth="1"/>
    <col min="12" max="12" width="13.7109375" customWidth="1"/>
    <col min="13" max="13" width="7.28515625" customWidth="1"/>
    <col min="14" max="14" width="13.7109375" customWidth="1"/>
    <col min="15" max="15" width="7.28515625" customWidth="1"/>
    <col min="16" max="16" width="13.7109375" customWidth="1"/>
    <col min="17" max="17" width="7.28515625" customWidth="1"/>
    <col min="18" max="18" width="13.7109375" customWidth="1"/>
    <col min="19" max="19" width="7.28515625" customWidth="1"/>
    <col min="20" max="20" width="13.7109375" customWidth="1"/>
    <col min="21" max="21" width="7.28515625" customWidth="1"/>
    <col min="22" max="22" width="13.7109375" customWidth="1"/>
    <col min="23" max="23" width="7.28515625" customWidth="1"/>
    <col min="24" max="24" width="13.7109375" customWidth="1"/>
    <col min="25" max="25" width="7.28515625" customWidth="1"/>
    <col min="26" max="26" width="13.7109375" customWidth="1"/>
    <col min="27" max="27" width="7.28515625" customWidth="1"/>
    <col min="28" max="28" width="13.7109375" customWidth="1"/>
    <col min="29" max="29" width="7.28515625" customWidth="1"/>
    <col min="30" max="30" width="13.7109375" customWidth="1"/>
    <col min="31" max="31" width="7.28515625" customWidth="1"/>
    <col min="32" max="32" width="13.7109375" customWidth="1"/>
    <col min="33" max="33" width="7.28515625" customWidth="1"/>
    <col min="34" max="34" width="13.7109375" customWidth="1"/>
    <col min="35" max="35" width="7.28515625" customWidth="1"/>
    <col min="36" max="36" width="13.7109375" customWidth="1"/>
    <col min="37" max="37" width="7.28515625" customWidth="1"/>
  </cols>
  <sheetData>
    <row r="1" spans="1:37" ht="45" customHeight="1">
      <c r="A1" s="348" t="s">
        <v>226</v>
      </c>
      <c r="B1" s="349" t="s">
        <v>227</v>
      </c>
      <c r="C1" s="350" t="s">
        <v>228</v>
      </c>
      <c r="D1" s="499" t="s">
        <v>229</v>
      </c>
      <c r="E1" s="499"/>
      <c r="F1" s="499" t="s">
        <v>230</v>
      </c>
      <c r="G1" s="499"/>
      <c r="H1" s="499" t="s">
        <v>231</v>
      </c>
      <c r="I1" s="499"/>
      <c r="J1" s="499" t="s">
        <v>232</v>
      </c>
      <c r="K1" s="499"/>
      <c r="L1" s="499" t="s">
        <v>233</v>
      </c>
      <c r="M1" s="499"/>
      <c r="N1" s="499" t="s">
        <v>234</v>
      </c>
      <c r="O1" s="499"/>
      <c r="P1" s="499" t="s">
        <v>235</v>
      </c>
      <c r="Q1" s="499"/>
      <c r="R1" s="499" t="s">
        <v>236</v>
      </c>
      <c r="S1" s="499"/>
      <c r="T1" s="499" t="s">
        <v>237</v>
      </c>
      <c r="U1" s="499"/>
      <c r="V1" s="499" t="s">
        <v>238</v>
      </c>
      <c r="W1" s="499"/>
      <c r="X1" s="499" t="s">
        <v>239</v>
      </c>
      <c r="Y1" s="499"/>
      <c r="Z1" s="499" t="s">
        <v>240</v>
      </c>
      <c r="AA1" s="499"/>
      <c r="AB1" s="499" t="s">
        <v>241</v>
      </c>
      <c r="AC1" s="499"/>
      <c r="AD1" s="499" t="s">
        <v>242</v>
      </c>
      <c r="AE1" s="499"/>
      <c r="AF1" s="499" t="s">
        <v>243</v>
      </c>
      <c r="AG1" s="499"/>
      <c r="AH1" s="499" t="s">
        <v>244</v>
      </c>
      <c r="AI1" s="499"/>
      <c r="AJ1" s="500" t="s">
        <v>245</v>
      </c>
      <c r="AK1" s="501"/>
    </row>
    <row r="2" spans="1:37" ht="18" customHeight="1">
      <c r="A2" s="271">
        <v>2023</v>
      </c>
      <c r="B2" s="272" t="s">
        <v>246</v>
      </c>
      <c r="C2" s="273" t="s">
        <v>246</v>
      </c>
      <c r="D2" s="273" t="s">
        <v>246</v>
      </c>
      <c r="E2" s="273" t="s">
        <v>247</v>
      </c>
      <c r="F2" s="273" t="s">
        <v>246</v>
      </c>
      <c r="G2" s="273" t="s">
        <v>247</v>
      </c>
      <c r="H2" s="273" t="s">
        <v>246</v>
      </c>
      <c r="I2" s="273" t="s">
        <v>247</v>
      </c>
      <c r="J2" s="273" t="s">
        <v>246</v>
      </c>
      <c r="K2" s="273" t="s">
        <v>247</v>
      </c>
      <c r="L2" s="273" t="s">
        <v>246</v>
      </c>
      <c r="M2" s="273" t="s">
        <v>247</v>
      </c>
      <c r="N2" s="273" t="s">
        <v>246</v>
      </c>
      <c r="O2" s="273" t="s">
        <v>247</v>
      </c>
      <c r="P2" s="273" t="s">
        <v>246</v>
      </c>
      <c r="Q2" s="273" t="s">
        <v>247</v>
      </c>
      <c r="R2" s="273" t="s">
        <v>246</v>
      </c>
      <c r="S2" s="273" t="s">
        <v>247</v>
      </c>
      <c r="T2" s="273" t="s">
        <v>246</v>
      </c>
      <c r="U2" s="273" t="s">
        <v>247</v>
      </c>
      <c r="V2" s="273" t="s">
        <v>246</v>
      </c>
      <c r="W2" s="273" t="s">
        <v>247</v>
      </c>
      <c r="X2" s="273" t="s">
        <v>246</v>
      </c>
      <c r="Y2" s="273" t="s">
        <v>247</v>
      </c>
      <c r="Z2" s="273" t="s">
        <v>246</v>
      </c>
      <c r="AA2" s="273" t="s">
        <v>247</v>
      </c>
      <c r="AB2" s="273" t="s">
        <v>246</v>
      </c>
      <c r="AC2" s="273" t="s">
        <v>247</v>
      </c>
      <c r="AD2" s="273" t="s">
        <v>246</v>
      </c>
      <c r="AE2" s="273" t="s">
        <v>247</v>
      </c>
      <c r="AF2" s="273" t="s">
        <v>246</v>
      </c>
      <c r="AG2" s="273" t="s">
        <v>247</v>
      </c>
      <c r="AH2" s="273" t="s">
        <v>246</v>
      </c>
      <c r="AI2" s="273" t="s">
        <v>247</v>
      </c>
      <c r="AJ2" s="274" t="s">
        <v>246</v>
      </c>
      <c r="AK2" s="275" t="s">
        <v>247</v>
      </c>
    </row>
    <row r="3" spans="1:37" ht="15.75" customHeight="1">
      <c r="A3" s="276" t="s">
        <v>248</v>
      </c>
      <c r="B3" s="277" t="s">
        <v>246</v>
      </c>
      <c r="C3" s="278" t="s">
        <v>246</v>
      </c>
      <c r="D3" s="278" t="s">
        <v>249</v>
      </c>
      <c r="E3" s="278" t="s">
        <v>246</v>
      </c>
      <c r="F3" s="278" t="s">
        <v>250</v>
      </c>
      <c r="G3" s="278" t="s">
        <v>246</v>
      </c>
      <c r="H3" s="278">
        <v>949.529</v>
      </c>
      <c r="I3" s="278" t="s">
        <v>246</v>
      </c>
      <c r="J3" s="278">
        <v>799.16200000000003</v>
      </c>
      <c r="K3" s="278" t="s">
        <v>246</v>
      </c>
      <c r="L3" s="278">
        <v>47.728999999999999</v>
      </c>
      <c r="M3" s="278" t="s">
        <v>246</v>
      </c>
      <c r="N3" s="278">
        <v>199.667</v>
      </c>
      <c r="O3" s="278" t="s">
        <v>246</v>
      </c>
      <c r="P3" s="278">
        <v>0</v>
      </c>
      <c r="Q3" s="278" t="s">
        <v>246</v>
      </c>
      <c r="R3" s="278">
        <v>15.759</v>
      </c>
      <c r="S3" s="278" t="s">
        <v>246</v>
      </c>
      <c r="T3" s="278">
        <v>302.66699999999997</v>
      </c>
      <c r="U3" s="278" t="s">
        <v>246</v>
      </c>
      <c r="V3" s="278" t="s">
        <v>251</v>
      </c>
      <c r="W3" s="278" t="s">
        <v>246</v>
      </c>
      <c r="X3" s="278" t="s">
        <v>252</v>
      </c>
      <c r="Y3" s="278" t="s">
        <v>246</v>
      </c>
      <c r="Z3" s="278" t="s">
        <v>249</v>
      </c>
      <c r="AA3" s="278" t="s">
        <v>246</v>
      </c>
      <c r="AB3" s="278" t="s">
        <v>252</v>
      </c>
      <c r="AC3" s="278" t="s">
        <v>246</v>
      </c>
      <c r="AD3" s="278">
        <v>28.018999999999998</v>
      </c>
      <c r="AE3" s="278" t="s">
        <v>246</v>
      </c>
      <c r="AF3" s="278">
        <v>933.89</v>
      </c>
      <c r="AG3" s="278" t="s">
        <v>246</v>
      </c>
      <c r="AH3" s="278" t="s">
        <v>253</v>
      </c>
      <c r="AI3" s="278" t="s">
        <v>246</v>
      </c>
      <c r="AJ3" s="279" t="s">
        <v>254</v>
      </c>
      <c r="AK3" s="280" t="s">
        <v>246</v>
      </c>
    </row>
    <row r="4" spans="1:37" ht="15.75" customHeight="1">
      <c r="A4" s="281" t="s">
        <v>255</v>
      </c>
      <c r="B4" s="282" t="s">
        <v>246</v>
      </c>
      <c r="C4" s="283" t="s">
        <v>246</v>
      </c>
      <c r="D4" s="283" t="s">
        <v>256</v>
      </c>
      <c r="E4" s="283" t="s">
        <v>246</v>
      </c>
      <c r="F4" s="283" t="s">
        <v>257</v>
      </c>
      <c r="G4" s="283" t="s">
        <v>246</v>
      </c>
      <c r="H4" s="283">
        <v>265.22899999999998</v>
      </c>
      <c r="I4" s="283" t="s">
        <v>246</v>
      </c>
      <c r="J4" s="283">
        <v>266.45499999999998</v>
      </c>
      <c r="K4" s="283" t="s">
        <v>246</v>
      </c>
      <c r="L4" s="283">
        <v>99.358999999999995</v>
      </c>
      <c r="M4" s="283" t="s">
        <v>246</v>
      </c>
      <c r="N4" s="283">
        <v>118.149</v>
      </c>
      <c r="O4" s="283" t="s">
        <v>246</v>
      </c>
      <c r="P4" s="283">
        <v>0</v>
      </c>
      <c r="Q4" s="283" t="s">
        <v>246</v>
      </c>
      <c r="R4" s="283">
        <v>29.745000000000001</v>
      </c>
      <c r="S4" s="283" t="s">
        <v>246</v>
      </c>
      <c r="T4" s="283">
        <v>309.10700000000003</v>
      </c>
      <c r="U4" s="283" t="s">
        <v>246</v>
      </c>
      <c r="V4" s="283" t="s">
        <v>258</v>
      </c>
      <c r="W4" s="283" t="s">
        <v>246</v>
      </c>
      <c r="X4" s="283" t="s">
        <v>252</v>
      </c>
      <c r="Y4" s="283" t="s">
        <v>246</v>
      </c>
      <c r="Z4" s="283" t="s">
        <v>256</v>
      </c>
      <c r="AA4" s="283" t="s">
        <v>246</v>
      </c>
      <c r="AB4" s="283" t="s">
        <v>252</v>
      </c>
      <c r="AC4" s="283" t="s">
        <v>246</v>
      </c>
      <c r="AD4" s="283">
        <v>12.430999999999999</v>
      </c>
      <c r="AE4" s="283" t="s">
        <v>246</v>
      </c>
      <c r="AF4" s="283">
        <v>260.80099999999999</v>
      </c>
      <c r="AG4" s="283" t="s">
        <v>246</v>
      </c>
      <c r="AH4" s="283" t="s">
        <v>259</v>
      </c>
      <c r="AI4" s="283" t="s">
        <v>246</v>
      </c>
      <c r="AJ4" s="284" t="s">
        <v>260</v>
      </c>
      <c r="AK4" s="285" t="s">
        <v>246</v>
      </c>
    </row>
    <row r="5" spans="1:37" ht="15.75" customHeight="1">
      <c r="A5" s="286" t="s">
        <v>261</v>
      </c>
      <c r="B5" s="287" t="s">
        <v>246</v>
      </c>
      <c r="C5" s="288" t="s">
        <v>246</v>
      </c>
      <c r="D5" s="288" t="s">
        <v>262</v>
      </c>
      <c r="E5" s="288" t="s">
        <v>246</v>
      </c>
      <c r="F5" s="288" t="s">
        <v>263</v>
      </c>
      <c r="G5" s="288" t="s">
        <v>246</v>
      </c>
      <c r="H5" s="288">
        <v>971.65700000000004</v>
      </c>
      <c r="I5" s="288" t="s">
        <v>246</v>
      </c>
      <c r="J5" s="288">
        <v>759.35599999999999</v>
      </c>
      <c r="K5" s="288" t="s">
        <v>246</v>
      </c>
      <c r="L5" s="288">
        <v>-3.9359999999999999</v>
      </c>
      <c r="M5" s="288" t="s">
        <v>246</v>
      </c>
      <c r="N5" s="288">
        <v>234.83199999999999</v>
      </c>
      <c r="O5" s="288" t="s">
        <v>246</v>
      </c>
      <c r="P5" s="288">
        <v>0</v>
      </c>
      <c r="Q5" s="288" t="s">
        <v>246</v>
      </c>
      <c r="R5" s="288">
        <v>31.408999999999999</v>
      </c>
      <c r="S5" s="288" t="s">
        <v>246</v>
      </c>
      <c r="T5" s="288">
        <v>436.21499999999997</v>
      </c>
      <c r="U5" s="288" t="s">
        <v>246</v>
      </c>
      <c r="V5" s="289" t="s">
        <v>264</v>
      </c>
      <c r="W5" s="288" t="s">
        <v>246</v>
      </c>
      <c r="X5" s="288" t="s">
        <v>252</v>
      </c>
      <c r="Y5" s="288" t="s">
        <v>246</v>
      </c>
      <c r="Z5" s="288" t="s">
        <v>262</v>
      </c>
      <c r="AA5" s="288" t="s">
        <v>246</v>
      </c>
      <c r="AB5" s="288" t="s">
        <v>252</v>
      </c>
      <c r="AC5" s="288" t="s">
        <v>246</v>
      </c>
      <c r="AD5" s="288">
        <v>23.303000000000001</v>
      </c>
      <c r="AE5" s="288" t="s">
        <v>246</v>
      </c>
      <c r="AF5" s="288">
        <v>957.73099999999999</v>
      </c>
      <c r="AG5" s="288" t="s">
        <v>246</v>
      </c>
      <c r="AH5" s="288" t="s">
        <v>265</v>
      </c>
      <c r="AI5" s="288" t="s">
        <v>246</v>
      </c>
      <c r="AJ5" s="290" t="s">
        <v>266</v>
      </c>
      <c r="AK5" s="291" t="s">
        <v>246</v>
      </c>
    </row>
    <row r="6" spans="1:37" ht="18" customHeight="1">
      <c r="A6" s="292" t="s">
        <v>267</v>
      </c>
      <c r="B6" s="293" t="s">
        <v>268</v>
      </c>
      <c r="C6" s="294">
        <v>2023</v>
      </c>
      <c r="D6" s="294" t="s">
        <v>269</v>
      </c>
      <c r="E6" s="294">
        <v>1</v>
      </c>
      <c r="F6" s="294" t="s">
        <v>270</v>
      </c>
      <c r="G6" s="294">
        <v>4</v>
      </c>
      <c r="H6" s="294">
        <v>949.529</v>
      </c>
      <c r="I6" s="294">
        <v>3</v>
      </c>
      <c r="J6" s="294">
        <v>799.16200000000003</v>
      </c>
      <c r="K6" s="294">
        <v>3</v>
      </c>
      <c r="L6" s="294">
        <v>47.728999999999999</v>
      </c>
      <c r="M6" s="294">
        <v>3</v>
      </c>
      <c r="N6" s="294">
        <v>350.15100000000001</v>
      </c>
      <c r="O6" s="294">
        <v>2</v>
      </c>
      <c r="P6" s="294">
        <v>0</v>
      </c>
      <c r="Q6" s="294">
        <v>1</v>
      </c>
      <c r="R6" s="294">
        <v>86.731999999999999</v>
      </c>
      <c r="S6" s="294">
        <v>1</v>
      </c>
      <c r="T6" s="294">
        <v>302.66699999999997</v>
      </c>
      <c r="U6" s="294">
        <v>3</v>
      </c>
      <c r="V6" s="294" t="s">
        <v>271</v>
      </c>
      <c r="W6" s="294">
        <v>1</v>
      </c>
      <c r="X6" s="294" t="s">
        <v>252</v>
      </c>
      <c r="Y6" s="294" t="s">
        <v>246</v>
      </c>
      <c r="Z6" s="294" t="s">
        <v>269</v>
      </c>
      <c r="AA6" s="294">
        <v>1</v>
      </c>
      <c r="AB6" s="294" t="s">
        <v>252</v>
      </c>
      <c r="AC6" s="294" t="s">
        <v>246</v>
      </c>
      <c r="AD6" s="294">
        <v>11.724</v>
      </c>
      <c r="AE6" s="294">
        <v>4</v>
      </c>
      <c r="AF6" s="294">
        <v>933.89</v>
      </c>
      <c r="AG6" s="294">
        <v>3</v>
      </c>
      <c r="AH6" s="294" t="s">
        <v>253</v>
      </c>
      <c r="AI6" s="294">
        <v>3</v>
      </c>
      <c r="AJ6" s="295" t="s">
        <v>272</v>
      </c>
      <c r="AK6" s="296">
        <v>4</v>
      </c>
    </row>
    <row r="7" spans="1:37" ht="18" customHeight="1">
      <c r="A7" s="297" t="s">
        <v>273</v>
      </c>
      <c r="B7" s="298" t="s">
        <v>274</v>
      </c>
      <c r="C7" s="299">
        <v>2023</v>
      </c>
      <c r="D7" s="299" t="s">
        <v>275</v>
      </c>
      <c r="E7" s="299">
        <v>2</v>
      </c>
      <c r="F7" s="299" t="s">
        <v>276</v>
      </c>
      <c r="G7" s="299">
        <v>5</v>
      </c>
      <c r="H7" s="299">
        <v>821.64200000000005</v>
      </c>
      <c r="I7" s="299">
        <v>4</v>
      </c>
      <c r="J7" s="299">
        <v>357.93299999999999</v>
      </c>
      <c r="K7" s="299">
        <v>5</v>
      </c>
      <c r="L7" s="299">
        <v>78.956000000000003</v>
      </c>
      <c r="M7" s="299">
        <v>1</v>
      </c>
      <c r="N7" s="299">
        <v>192.929</v>
      </c>
      <c r="O7" s="299">
        <v>4</v>
      </c>
      <c r="P7" s="299">
        <v>0</v>
      </c>
      <c r="Q7" s="299">
        <v>1</v>
      </c>
      <c r="R7" s="299">
        <v>37.122</v>
      </c>
      <c r="S7" s="299">
        <v>2</v>
      </c>
      <c r="T7" s="299">
        <v>157.22399999999999</v>
      </c>
      <c r="U7" s="299">
        <v>5</v>
      </c>
      <c r="V7" s="299" t="s">
        <v>271</v>
      </c>
      <c r="W7" s="299">
        <v>1</v>
      </c>
      <c r="X7" s="299" t="s">
        <v>252</v>
      </c>
      <c r="Y7" s="299" t="s">
        <v>246</v>
      </c>
      <c r="Z7" s="299" t="s">
        <v>275</v>
      </c>
      <c r="AA7" s="299">
        <v>2</v>
      </c>
      <c r="AB7" s="299" t="s">
        <v>252</v>
      </c>
      <c r="AC7" s="299" t="s">
        <v>246</v>
      </c>
      <c r="AD7" s="299">
        <v>6.1740000000000004</v>
      </c>
      <c r="AE7" s="299">
        <v>5</v>
      </c>
      <c r="AF7" s="299">
        <v>811.80600000000004</v>
      </c>
      <c r="AG7" s="299">
        <v>4</v>
      </c>
      <c r="AH7" s="299" t="s">
        <v>277</v>
      </c>
      <c r="AI7" s="299">
        <v>1</v>
      </c>
      <c r="AJ7" s="300" t="s">
        <v>254</v>
      </c>
      <c r="AK7" s="301">
        <v>3</v>
      </c>
    </row>
    <row r="8" spans="1:37" ht="18" customHeight="1">
      <c r="A8" s="302" t="s">
        <v>278</v>
      </c>
      <c r="B8" s="303" t="s">
        <v>268</v>
      </c>
      <c r="C8" s="304">
        <v>2023</v>
      </c>
      <c r="D8" s="304" t="s">
        <v>249</v>
      </c>
      <c r="E8" s="304">
        <v>3</v>
      </c>
      <c r="F8" s="304" t="s">
        <v>279</v>
      </c>
      <c r="G8" s="304">
        <v>2</v>
      </c>
      <c r="H8" s="304">
        <v>580.17600000000004</v>
      </c>
      <c r="I8" s="304">
        <v>5</v>
      </c>
      <c r="J8" s="304">
        <v>598.15</v>
      </c>
      <c r="K8" s="304">
        <v>4</v>
      </c>
      <c r="L8" s="304">
        <v>-1.3740000000000001</v>
      </c>
      <c r="M8" s="304">
        <v>4</v>
      </c>
      <c r="N8" s="304">
        <v>199.667</v>
      </c>
      <c r="O8" s="304">
        <v>3</v>
      </c>
      <c r="P8" s="304">
        <v>0</v>
      </c>
      <c r="Q8" s="304">
        <v>1</v>
      </c>
      <c r="R8" s="304">
        <v>13.981</v>
      </c>
      <c r="S8" s="304">
        <v>4</v>
      </c>
      <c r="T8" s="304">
        <v>270.29300000000001</v>
      </c>
      <c r="U8" s="304">
        <v>4</v>
      </c>
      <c r="V8" s="304" t="s">
        <v>251</v>
      </c>
      <c r="W8" s="304">
        <v>3</v>
      </c>
      <c r="X8" s="304" t="s">
        <v>252</v>
      </c>
      <c r="Y8" s="304" t="s">
        <v>246</v>
      </c>
      <c r="Z8" s="304" t="s">
        <v>249</v>
      </c>
      <c r="AA8" s="304">
        <v>3</v>
      </c>
      <c r="AB8" s="304" t="s">
        <v>252</v>
      </c>
      <c r="AC8" s="304" t="s">
        <v>246</v>
      </c>
      <c r="AD8" s="304">
        <v>31.111999999999998</v>
      </c>
      <c r="AE8" s="304">
        <v>2</v>
      </c>
      <c r="AF8" s="304">
        <v>569.36199999999997</v>
      </c>
      <c r="AG8" s="304">
        <v>5</v>
      </c>
      <c r="AH8" s="304" t="s">
        <v>280</v>
      </c>
      <c r="AI8" s="304">
        <v>5</v>
      </c>
      <c r="AJ8" s="305" t="s">
        <v>281</v>
      </c>
      <c r="AK8" s="306">
        <v>1</v>
      </c>
    </row>
    <row r="9" spans="1:37" ht="18" customHeight="1">
      <c r="A9" s="307" t="s">
        <v>282</v>
      </c>
      <c r="B9" s="308" t="s">
        <v>274</v>
      </c>
      <c r="C9" s="309">
        <v>2023</v>
      </c>
      <c r="D9" s="309" t="s">
        <v>283</v>
      </c>
      <c r="E9" s="309">
        <v>4</v>
      </c>
      <c r="F9" s="309" t="s">
        <v>284</v>
      </c>
      <c r="G9" s="309">
        <v>1</v>
      </c>
      <c r="H9" s="309" t="s">
        <v>285</v>
      </c>
      <c r="I9" s="309">
        <v>1</v>
      </c>
      <c r="J9" s="309" t="s">
        <v>286</v>
      </c>
      <c r="K9" s="309">
        <v>1</v>
      </c>
      <c r="L9" s="309">
        <v>-195.81200000000001</v>
      </c>
      <c r="M9" s="309">
        <v>5</v>
      </c>
      <c r="N9" s="309">
        <v>53.265000000000001</v>
      </c>
      <c r="O9" s="309">
        <v>5</v>
      </c>
      <c r="P9" s="309">
        <v>0</v>
      </c>
      <c r="Q9" s="309">
        <v>1</v>
      </c>
      <c r="R9" s="309">
        <v>3.4489999999999998</v>
      </c>
      <c r="S9" s="309">
        <v>5</v>
      </c>
      <c r="T9" s="310" t="s">
        <v>287</v>
      </c>
      <c r="U9" s="309">
        <v>1</v>
      </c>
      <c r="V9" s="311" t="s">
        <v>288</v>
      </c>
      <c r="W9" s="309">
        <v>5</v>
      </c>
      <c r="X9" s="309" t="s">
        <v>252</v>
      </c>
      <c r="Y9" s="309" t="s">
        <v>246</v>
      </c>
      <c r="Z9" s="309" t="s">
        <v>283</v>
      </c>
      <c r="AA9" s="309">
        <v>4</v>
      </c>
      <c r="AB9" s="309" t="s">
        <v>252</v>
      </c>
      <c r="AC9" s="309" t="s">
        <v>246</v>
      </c>
      <c r="AD9" s="309">
        <v>39.487000000000002</v>
      </c>
      <c r="AE9" s="309">
        <v>1</v>
      </c>
      <c r="AF9" s="309" t="s">
        <v>289</v>
      </c>
      <c r="AG9" s="309">
        <v>1</v>
      </c>
      <c r="AH9" s="309" t="s">
        <v>290</v>
      </c>
      <c r="AI9" s="309">
        <v>4</v>
      </c>
      <c r="AJ9" s="312" t="s">
        <v>291</v>
      </c>
      <c r="AK9" s="313">
        <v>5</v>
      </c>
    </row>
    <row r="10" spans="1:37" ht="18" customHeight="1">
      <c r="A10" s="314" t="s">
        <v>292</v>
      </c>
      <c r="B10" s="315" t="s">
        <v>268</v>
      </c>
      <c r="C10" s="316">
        <v>2023</v>
      </c>
      <c r="D10" s="316" t="s">
        <v>293</v>
      </c>
      <c r="E10" s="316">
        <v>5</v>
      </c>
      <c r="F10" s="316" t="s">
        <v>250</v>
      </c>
      <c r="G10" s="316">
        <v>3</v>
      </c>
      <c r="H10" s="316" t="s">
        <v>294</v>
      </c>
      <c r="I10" s="316">
        <v>2</v>
      </c>
      <c r="J10" s="316">
        <v>899.09799999999996</v>
      </c>
      <c r="K10" s="316">
        <v>2</v>
      </c>
      <c r="L10" s="316">
        <v>50.82</v>
      </c>
      <c r="M10" s="316">
        <v>2</v>
      </c>
      <c r="N10" s="316">
        <v>378.14600000000002</v>
      </c>
      <c r="O10" s="316">
        <v>1</v>
      </c>
      <c r="P10" s="316">
        <v>0</v>
      </c>
      <c r="Q10" s="316">
        <v>1</v>
      </c>
      <c r="R10" s="316">
        <v>15.759</v>
      </c>
      <c r="S10" s="316">
        <v>3</v>
      </c>
      <c r="T10" s="316">
        <v>419.48200000000003</v>
      </c>
      <c r="U10" s="316">
        <v>2</v>
      </c>
      <c r="V10" s="317" t="s">
        <v>295</v>
      </c>
      <c r="W10" s="316">
        <v>4</v>
      </c>
      <c r="X10" s="316" t="s">
        <v>252</v>
      </c>
      <c r="Y10" s="316" t="s">
        <v>246</v>
      </c>
      <c r="Z10" s="316" t="s">
        <v>293</v>
      </c>
      <c r="AA10" s="316">
        <v>5</v>
      </c>
      <c r="AB10" s="316" t="s">
        <v>252</v>
      </c>
      <c r="AC10" s="316" t="s">
        <v>246</v>
      </c>
      <c r="AD10" s="316">
        <v>28.018999999999998</v>
      </c>
      <c r="AE10" s="316">
        <v>3</v>
      </c>
      <c r="AF10" s="316" t="s">
        <v>296</v>
      </c>
      <c r="AG10" s="316">
        <v>2</v>
      </c>
      <c r="AH10" s="316" t="s">
        <v>297</v>
      </c>
      <c r="AI10" s="316">
        <v>2</v>
      </c>
      <c r="AJ10" s="318" t="s">
        <v>298</v>
      </c>
      <c r="AK10" s="319">
        <v>2</v>
      </c>
    </row>
    <row r="11" spans="1:37" ht="18" customHeight="1">
      <c r="A11" s="271">
        <v>2022</v>
      </c>
      <c r="B11" s="272" t="s">
        <v>246</v>
      </c>
      <c r="C11" s="273" t="s">
        <v>246</v>
      </c>
      <c r="D11" s="273" t="s">
        <v>246</v>
      </c>
      <c r="E11" s="273" t="s">
        <v>247</v>
      </c>
      <c r="F11" s="273" t="s">
        <v>246</v>
      </c>
      <c r="G11" s="273" t="s">
        <v>247</v>
      </c>
      <c r="H11" s="273" t="s">
        <v>246</v>
      </c>
      <c r="I11" s="273" t="s">
        <v>247</v>
      </c>
      <c r="J11" s="273" t="s">
        <v>246</v>
      </c>
      <c r="K11" s="273" t="s">
        <v>247</v>
      </c>
      <c r="L11" s="273" t="s">
        <v>246</v>
      </c>
      <c r="M11" s="273" t="s">
        <v>247</v>
      </c>
      <c r="N11" s="273" t="s">
        <v>246</v>
      </c>
      <c r="O11" s="273" t="s">
        <v>247</v>
      </c>
      <c r="P11" s="273" t="s">
        <v>246</v>
      </c>
      <c r="Q11" s="273" t="s">
        <v>247</v>
      </c>
      <c r="R11" s="273" t="s">
        <v>246</v>
      </c>
      <c r="S11" s="273" t="s">
        <v>247</v>
      </c>
      <c r="T11" s="273" t="s">
        <v>246</v>
      </c>
      <c r="U11" s="273" t="s">
        <v>247</v>
      </c>
      <c r="V11" s="273" t="s">
        <v>246</v>
      </c>
      <c r="W11" s="273" t="s">
        <v>247</v>
      </c>
      <c r="X11" s="273" t="s">
        <v>246</v>
      </c>
      <c r="Y11" s="273" t="s">
        <v>247</v>
      </c>
      <c r="Z11" s="273" t="s">
        <v>246</v>
      </c>
      <c r="AA11" s="273" t="s">
        <v>247</v>
      </c>
      <c r="AB11" s="273" t="s">
        <v>246</v>
      </c>
      <c r="AC11" s="273" t="s">
        <v>247</v>
      </c>
      <c r="AD11" s="273" t="s">
        <v>246</v>
      </c>
      <c r="AE11" s="273" t="s">
        <v>247</v>
      </c>
      <c r="AF11" s="273" t="s">
        <v>246</v>
      </c>
      <c r="AG11" s="273" t="s">
        <v>247</v>
      </c>
      <c r="AH11" s="273" t="s">
        <v>246</v>
      </c>
      <c r="AI11" s="273" t="s">
        <v>247</v>
      </c>
      <c r="AJ11" s="274" t="s">
        <v>246</v>
      </c>
      <c r="AK11" s="275" t="s">
        <v>247</v>
      </c>
    </row>
    <row r="12" spans="1:37" ht="15.75" customHeight="1">
      <c r="A12" s="276" t="s">
        <v>248</v>
      </c>
      <c r="B12" s="277" t="s">
        <v>246</v>
      </c>
      <c r="C12" s="278" t="s">
        <v>246</v>
      </c>
      <c r="D12" s="278" t="s">
        <v>299</v>
      </c>
      <c r="E12" s="278" t="s">
        <v>246</v>
      </c>
      <c r="F12" s="278" t="s">
        <v>300</v>
      </c>
      <c r="G12" s="278" t="s">
        <v>246</v>
      </c>
      <c r="H12" s="278" t="s">
        <v>301</v>
      </c>
      <c r="I12" s="278" t="s">
        <v>246</v>
      </c>
      <c r="J12" s="278">
        <v>849.15899999999999</v>
      </c>
      <c r="K12" s="278" t="s">
        <v>246</v>
      </c>
      <c r="L12" s="278">
        <v>47.283000000000001</v>
      </c>
      <c r="M12" s="278" t="s">
        <v>246</v>
      </c>
      <c r="N12" s="278">
        <v>242.86699999999999</v>
      </c>
      <c r="O12" s="278" t="s">
        <v>246</v>
      </c>
      <c r="P12" s="278">
        <v>0</v>
      </c>
      <c r="Q12" s="278" t="s">
        <v>246</v>
      </c>
      <c r="R12" s="278">
        <v>19.009</v>
      </c>
      <c r="S12" s="278" t="s">
        <v>246</v>
      </c>
      <c r="T12" s="278">
        <v>371.01299999999998</v>
      </c>
      <c r="U12" s="278" t="s">
        <v>246</v>
      </c>
      <c r="V12" s="278" t="s">
        <v>302</v>
      </c>
      <c r="W12" s="278" t="s">
        <v>246</v>
      </c>
      <c r="X12" s="278" t="s">
        <v>252</v>
      </c>
      <c r="Y12" s="278" t="s">
        <v>246</v>
      </c>
      <c r="Z12" s="278" t="s">
        <v>299</v>
      </c>
      <c r="AA12" s="278" t="s">
        <v>246</v>
      </c>
      <c r="AB12" s="278" t="s">
        <v>252</v>
      </c>
      <c r="AC12" s="278" t="s">
        <v>246</v>
      </c>
      <c r="AD12" s="278">
        <v>19.760000000000002</v>
      </c>
      <c r="AE12" s="278" t="s">
        <v>246</v>
      </c>
      <c r="AF12" s="278" t="s">
        <v>303</v>
      </c>
      <c r="AG12" s="278" t="s">
        <v>246</v>
      </c>
      <c r="AH12" s="278" t="s">
        <v>304</v>
      </c>
      <c r="AI12" s="278" t="s">
        <v>246</v>
      </c>
      <c r="AJ12" s="279" t="s">
        <v>305</v>
      </c>
      <c r="AK12" s="280" t="s">
        <v>246</v>
      </c>
    </row>
    <row r="13" spans="1:37" ht="15.75" customHeight="1">
      <c r="A13" s="281" t="s">
        <v>255</v>
      </c>
      <c r="B13" s="282" t="s">
        <v>246</v>
      </c>
      <c r="C13" s="283" t="s">
        <v>246</v>
      </c>
      <c r="D13" s="283" t="s">
        <v>256</v>
      </c>
      <c r="E13" s="283" t="s">
        <v>246</v>
      </c>
      <c r="F13" s="283" t="s">
        <v>306</v>
      </c>
      <c r="G13" s="283" t="s">
        <v>246</v>
      </c>
      <c r="H13" s="283">
        <v>395.63200000000001</v>
      </c>
      <c r="I13" s="283" t="s">
        <v>246</v>
      </c>
      <c r="J13" s="283">
        <v>284.59199999999998</v>
      </c>
      <c r="K13" s="283" t="s">
        <v>246</v>
      </c>
      <c r="L13" s="283">
        <v>61.423000000000002</v>
      </c>
      <c r="M13" s="283" t="s">
        <v>246</v>
      </c>
      <c r="N13" s="283">
        <v>85.51</v>
      </c>
      <c r="O13" s="283" t="s">
        <v>246</v>
      </c>
      <c r="P13" s="283">
        <v>0</v>
      </c>
      <c r="Q13" s="283" t="s">
        <v>246</v>
      </c>
      <c r="R13" s="283">
        <v>45.914999999999999</v>
      </c>
      <c r="S13" s="283" t="s">
        <v>246</v>
      </c>
      <c r="T13" s="283">
        <v>250.697</v>
      </c>
      <c r="U13" s="283" t="s">
        <v>246</v>
      </c>
      <c r="V13" s="283" t="s">
        <v>307</v>
      </c>
      <c r="W13" s="283" t="s">
        <v>246</v>
      </c>
      <c r="X13" s="283" t="s">
        <v>252</v>
      </c>
      <c r="Y13" s="283" t="s">
        <v>246</v>
      </c>
      <c r="Z13" s="283" t="s">
        <v>256</v>
      </c>
      <c r="AA13" s="283" t="s">
        <v>246</v>
      </c>
      <c r="AB13" s="283" t="s">
        <v>252</v>
      </c>
      <c r="AC13" s="283" t="s">
        <v>246</v>
      </c>
      <c r="AD13" s="283">
        <v>9.2739999999999991</v>
      </c>
      <c r="AE13" s="283" t="s">
        <v>246</v>
      </c>
      <c r="AF13" s="283">
        <v>396.51</v>
      </c>
      <c r="AG13" s="283" t="s">
        <v>246</v>
      </c>
      <c r="AH13" s="283" t="s">
        <v>308</v>
      </c>
      <c r="AI13" s="283" t="s">
        <v>246</v>
      </c>
      <c r="AJ13" s="284" t="s">
        <v>309</v>
      </c>
      <c r="AK13" s="285" t="s">
        <v>246</v>
      </c>
    </row>
    <row r="14" spans="1:37" ht="15.75" customHeight="1">
      <c r="A14" s="286" t="s">
        <v>261</v>
      </c>
      <c r="B14" s="287" t="s">
        <v>246</v>
      </c>
      <c r="C14" s="288" t="s">
        <v>246</v>
      </c>
      <c r="D14" s="288" t="s">
        <v>310</v>
      </c>
      <c r="E14" s="288" t="s">
        <v>246</v>
      </c>
      <c r="F14" s="288" t="s">
        <v>311</v>
      </c>
      <c r="G14" s="288" t="s">
        <v>246</v>
      </c>
      <c r="H14" s="288" t="s">
        <v>312</v>
      </c>
      <c r="I14" s="288" t="s">
        <v>246</v>
      </c>
      <c r="J14" s="288">
        <v>763.54499999999996</v>
      </c>
      <c r="K14" s="288" t="s">
        <v>246</v>
      </c>
      <c r="L14" s="288">
        <v>42.140999999999998</v>
      </c>
      <c r="M14" s="288" t="s">
        <v>246</v>
      </c>
      <c r="N14" s="288">
        <v>240.22300000000001</v>
      </c>
      <c r="O14" s="288" t="s">
        <v>246</v>
      </c>
      <c r="P14" s="288">
        <v>0</v>
      </c>
      <c r="Q14" s="288" t="s">
        <v>246</v>
      </c>
      <c r="R14" s="288">
        <v>44.354999999999997</v>
      </c>
      <c r="S14" s="288" t="s">
        <v>246</v>
      </c>
      <c r="T14" s="288">
        <v>423.5</v>
      </c>
      <c r="U14" s="288" t="s">
        <v>246</v>
      </c>
      <c r="V14" s="288" t="s">
        <v>313</v>
      </c>
      <c r="W14" s="288" t="s">
        <v>246</v>
      </c>
      <c r="X14" s="288" t="s">
        <v>252</v>
      </c>
      <c r="Y14" s="288" t="s">
        <v>246</v>
      </c>
      <c r="Z14" s="288" t="s">
        <v>310</v>
      </c>
      <c r="AA14" s="288" t="s">
        <v>246</v>
      </c>
      <c r="AB14" s="288" t="s">
        <v>252</v>
      </c>
      <c r="AC14" s="288" t="s">
        <v>246</v>
      </c>
      <c r="AD14" s="288">
        <v>17.8</v>
      </c>
      <c r="AE14" s="288" t="s">
        <v>246</v>
      </c>
      <c r="AF14" s="288" t="s">
        <v>314</v>
      </c>
      <c r="AG14" s="288" t="s">
        <v>246</v>
      </c>
      <c r="AH14" s="288" t="s">
        <v>315</v>
      </c>
      <c r="AI14" s="288" t="s">
        <v>246</v>
      </c>
      <c r="AJ14" s="290" t="s">
        <v>316</v>
      </c>
      <c r="AK14" s="291" t="s">
        <v>246</v>
      </c>
    </row>
    <row r="15" spans="1:37" ht="18" customHeight="1">
      <c r="A15" s="292" t="s">
        <v>273</v>
      </c>
      <c r="B15" s="293" t="s">
        <v>274</v>
      </c>
      <c r="C15" s="294">
        <v>2022</v>
      </c>
      <c r="D15" s="294" t="s">
        <v>317</v>
      </c>
      <c r="E15" s="294">
        <v>1</v>
      </c>
      <c r="F15" s="294" t="s">
        <v>318</v>
      </c>
      <c r="G15" s="294">
        <v>5</v>
      </c>
      <c r="H15" s="294" t="s">
        <v>319</v>
      </c>
      <c r="I15" s="294">
        <v>4</v>
      </c>
      <c r="J15" s="294">
        <v>374.964</v>
      </c>
      <c r="K15" s="294">
        <v>5</v>
      </c>
      <c r="L15" s="294">
        <v>108.649</v>
      </c>
      <c r="M15" s="294">
        <v>1</v>
      </c>
      <c r="N15" s="294">
        <v>155.78299999999999</v>
      </c>
      <c r="O15" s="294">
        <v>4</v>
      </c>
      <c r="P15" s="294">
        <v>0</v>
      </c>
      <c r="Q15" s="294">
        <v>1</v>
      </c>
      <c r="R15" s="294">
        <v>57.667000000000002</v>
      </c>
      <c r="S15" s="294">
        <v>2</v>
      </c>
      <c r="T15" s="294">
        <v>160.55000000000001</v>
      </c>
      <c r="U15" s="294">
        <v>5</v>
      </c>
      <c r="V15" s="294" t="s">
        <v>320</v>
      </c>
      <c r="W15" s="294">
        <v>1</v>
      </c>
      <c r="X15" s="294" t="s">
        <v>252</v>
      </c>
      <c r="Y15" s="294" t="s">
        <v>246</v>
      </c>
      <c r="Z15" s="294" t="s">
        <v>317</v>
      </c>
      <c r="AA15" s="294">
        <v>1</v>
      </c>
      <c r="AB15" s="294" t="s">
        <v>252</v>
      </c>
      <c r="AC15" s="294" t="s">
        <v>246</v>
      </c>
      <c r="AD15" s="294">
        <v>2.64</v>
      </c>
      <c r="AE15" s="294">
        <v>5</v>
      </c>
      <c r="AF15" s="294" t="s">
        <v>321</v>
      </c>
      <c r="AG15" s="294">
        <v>4</v>
      </c>
      <c r="AH15" s="294" t="s">
        <v>322</v>
      </c>
      <c r="AI15" s="294">
        <v>1</v>
      </c>
      <c r="AJ15" s="295" t="s">
        <v>305</v>
      </c>
      <c r="AK15" s="296">
        <v>3</v>
      </c>
    </row>
    <row r="16" spans="1:37" ht="18" customHeight="1">
      <c r="A16" s="297" t="s">
        <v>267</v>
      </c>
      <c r="B16" s="298" t="s">
        <v>268</v>
      </c>
      <c r="C16" s="299">
        <v>2022</v>
      </c>
      <c r="D16" s="299" t="s">
        <v>323</v>
      </c>
      <c r="E16" s="299">
        <v>2</v>
      </c>
      <c r="F16" s="299" t="s">
        <v>300</v>
      </c>
      <c r="G16" s="299">
        <v>3</v>
      </c>
      <c r="H16" s="299" t="s">
        <v>301</v>
      </c>
      <c r="I16" s="299">
        <v>3</v>
      </c>
      <c r="J16" s="299">
        <v>849.15899999999999</v>
      </c>
      <c r="K16" s="299">
        <v>3</v>
      </c>
      <c r="L16" s="299">
        <v>47.283000000000001</v>
      </c>
      <c r="M16" s="299">
        <v>3</v>
      </c>
      <c r="N16" s="299">
        <v>322.51799999999997</v>
      </c>
      <c r="O16" s="299">
        <v>2</v>
      </c>
      <c r="P16" s="299">
        <v>0</v>
      </c>
      <c r="Q16" s="299">
        <v>1</v>
      </c>
      <c r="R16" s="299">
        <v>128.244</v>
      </c>
      <c r="S16" s="299">
        <v>1</v>
      </c>
      <c r="T16" s="299">
        <v>371.01299999999998</v>
      </c>
      <c r="U16" s="299">
        <v>3</v>
      </c>
      <c r="V16" s="299" t="s">
        <v>324</v>
      </c>
      <c r="W16" s="299">
        <v>2</v>
      </c>
      <c r="X16" s="299" t="s">
        <v>252</v>
      </c>
      <c r="Y16" s="299" t="s">
        <v>246</v>
      </c>
      <c r="Z16" s="299" t="s">
        <v>323</v>
      </c>
      <c r="AA16" s="299">
        <v>2</v>
      </c>
      <c r="AB16" s="299" t="s">
        <v>252</v>
      </c>
      <c r="AC16" s="299" t="s">
        <v>246</v>
      </c>
      <c r="AD16" s="299">
        <v>12.601000000000001</v>
      </c>
      <c r="AE16" s="299">
        <v>4</v>
      </c>
      <c r="AF16" s="299" t="s">
        <v>303</v>
      </c>
      <c r="AG16" s="299">
        <v>3</v>
      </c>
      <c r="AH16" s="299" t="s">
        <v>325</v>
      </c>
      <c r="AI16" s="299">
        <v>5</v>
      </c>
      <c r="AJ16" s="300" t="s">
        <v>326</v>
      </c>
      <c r="AK16" s="301">
        <v>4</v>
      </c>
    </row>
    <row r="17" spans="1:37" ht="18" customHeight="1">
      <c r="A17" s="302" t="s">
        <v>278</v>
      </c>
      <c r="B17" s="303" t="s">
        <v>268</v>
      </c>
      <c r="C17" s="304">
        <v>2022</v>
      </c>
      <c r="D17" s="304" t="s">
        <v>299</v>
      </c>
      <c r="E17" s="304">
        <v>3</v>
      </c>
      <c r="F17" s="304" t="s">
        <v>327</v>
      </c>
      <c r="G17" s="304">
        <v>2</v>
      </c>
      <c r="H17" s="304">
        <v>768.03499999999997</v>
      </c>
      <c r="I17" s="304">
        <v>5</v>
      </c>
      <c r="J17" s="304">
        <v>536.58500000000004</v>
      </c>
      <c r="K17" s="304">
        <v>4</v>
      </c>
      <c r="L17" s="304">
        <v>16.858000000000001</v>
      </c>
      <c r="M17" s="304">
        <v>4</v>
      </c>
      <c r="N17" s="304">
        <v>133.554</v>
      </c>
      <c r="O17" s="304">
        <v>5</v>
      </c>
      <c r="P17" s="304">
        <v>0</v>
      </c>
      <c r="Q17" s="304">
        <v>1</v>
      </c>
      <c r="R17" s="304">
        <v>15.581</v>
      </c>
      <c r="S17" s="304">
        <v>4</v>
      </c>
      <c r="T17" s="304">
        <v>276.42899999999997</v>
      </c>
      <c r="U17" s="304">
        <v>4</v>
      </c>
      <c r="V17" s="304" t="s">
        <v>302</v>
      </c>
      <c r="W17" s="304">
        <v>3</v>
      </c>
      <c r="X17" s="304" t="s">
        <v>252</v>
      </c>
      <c r="Y17" s="304" t="s">
        <v>246</v>
      </c>
      <c r="Z17" s="304" t="s">
        <v>299</v>
      </c>
      <c r="AA17" s="304">
        <v>3</v>
      </c>
      <c r="AB17" s="304" t="s">
        <v>252</v>
      </c>
      <c r="AC17" s="304" t="s">
        <v>246</v>
      </c>
      <c r="AD17" s="304">
        <v>27.14</v>
      </c>
      <c r="AE17" s="304">
        <v>1</v>
      </c>
      <c r="AF17" s="304">
        <v>751.71299999999997</v>
      </c>
      <c r="AG17" s="304">
        <v>5</v>
      </c>
      <c r="AH17" s="304" t="s">
        <v>269</v>
      </c>
      <c r="AI17" s="304">
        <v>4</v>
      </c>
      <c r="AJ17" s="305" t="s">
        <v>328</v>
      </c>
      <c r="AK17" s="306">
        <v>2</v>
      </c>
    </row>
    <row r="18" spans="1:37" ht="18" customHeight="1">
      <c r="A18" s="307" t="s">
        <v>282</v>
      </c>
      <c r="B18" s="308" t="s">
        <v>274</v>
      </c>
      <c r="C18" s="309">
        <v>2022</v>
      </c>
      <c r="D18" s="309" t="s">
        <v>329</v>
      </c>
      <c r="E18" s="309">
        <v>4</v>
      </c>
      <c r="F18" s="309" t="s">
        <v>330</v>
      </c>
      <c r="G18" s="309">
        <v>1</v>
      </c>
      <c r="H18" s="309" t="s">
        <v>331</v>
      </c>
      <c r="I18" s="309">
        <v>1</v>
      </c>
      <c r="J18" s="309" t="s">
        <v>332</v>
      </c>
      <c r="K18" s="309">
        <v>1</v>
      </c>
      <c r="L18" s="309">
        <v>-60.728000000000002</v>
      </c>
      <c r="M18" s="309">
        <v>5</v>
      </c>
      <c r="N18" s="309">
        <v>242.86699999999999</v>
      </c>
      <c r="O18" s="309">
        <v>3</v>
      </c>
      <c r="P18" s="309">
        <v>0</v>
      </c>
      <c r="Q18" s="309">
        <v>1</v>
      </c>
      <c r="R18" s="309">
        <v>1.2749999999999999</v>
      </c>
      <c r="S18" s="309">
        <v>5</v>
      </c>
      <c r="T18" s="309">
        <v>893.25</v>
      </c>
      <c r="U18" s="309">
        <v>1</v>
      </c>
      <c r="V18" s="311" t="s">
        <v>333</v>
      </c>
      <c r="W18" s="309">
        <v>4</v>
      </c>
      <c r="X18" s="309" t="s">
        <v>252</v>
      </c>
      <c r="Y18" s="309" t="s">
        <v>246</v>
      </c>
      <c r="Z18" s="309" t="s">
        <v>329</v>
      </c>
      <c r="AA18" s="309">
        <v>4</v>
      </c>
      <c r="AB18" s="309" t="s">
        <v>252</v>
      </c>
      <c r="AC18" s="309" t="s">
        <v>246</v>
      </c>
      <c r="AD18" s="309">
        <v>19.760000000000002</v>
      </c>
      <c r="AE18" s="309">
        <v>3</v>
      </c>
      <c r="AF18" s="309" t="s">
        <v>334</v>
      </c>
      <c r="AG18" s="309">
        <v>1</v>
      </c>
      <c r="AH18" s="309" t="s">
        <v>304</v>
      </c>
      <c r="AI18" s="309">
        <v>3</v>
      </c>
      <c r="AJ18" s="312" t="s">
        <v>335</v>
      </c>
      <c r="AK18" s="313">
        <v>5</v>
      </c>
    </row>
    <row r="19" spans="1:37" ht="18" customHeight="1">
      <c r="A19" s="314" t="s">
        <v>292</v>
      </c>
      <c r="B19" s="315" t="s">
        <v>268</v>
      </c>
      <c r="C19" s="316">
        <v>2022</v>
      </c>
      <c r="D19" s="316" t="s">
        <v>336</v>
      </c>
      <c r="E19" s="316">
        <v>5</v>
      </c>
      <c r="F19" s="316" t="s">
        <v>337</v>
      </c>
      <c r="G19" s="316">
        <v>4</v>
      </c>
      <c r="H19" s="316" t="s">
        <v>338</v>
      </c>
      <c r="I19" s="316">
        <v>2</v>
      </c>
      <c r="J19" s="316">
        <v>863.10199999999998</v>
      </c>
      <c r="K19" s="316">
        <v>2</v>
      </c>
      <c r="L19" s="316">
        <v>98.644999999999996</v>
      </c>
      <c r="M19" s="316">
        <v>2</v>
      </c>
      <c r="N19" s="316">
        <v>346.39100000000002</v>
      </c>
      <c r="O19" s="316">
        <v>1</v>
      </c>
      <c r="P19" s="316">
        <v>0</v>
      </c>
      <c r="Q19" s="316">
        <v>1</v>
      </c>
      <c r="R19" s="316">
        <v>19.009</v>
      </c>
      <c r="S19" s="316">
        <v>3</v>
      </c>
      <c r="T19" s="316">
        <v>416.25700000000001</v>
      </c>
      <c r="U19" s="316">
        <v>2</v>
      </c>
      <c r="V19" s="317" t="s">
        <v>339</v>
      </c>
      <c r="W19" s="316">
        <v>5</v>
      </c>
      <c r="X19" s="316" t="s">
        <v>252</v>
      </c>
      <c r="Y19" s="316" t="s">
        <v>246</v>
      </c>
      <c r="Z19" s="316" t="s">
        <v>336</v>
      </c>
      <c r="AA19" s="316">
        <v>5</v>
      </c>
      <c r="AB19" s="316" t="s">
        <v>252</v>
      </c>
      <c r="AC19" s="316" t="s">
        <v>246</v>
      </c>
      <c r="AD19" s="316">
        <v>26.86</v>
      </c>
      <c r="AE19" s="316">
        <v>2</v>
      </c>
      <c r="AF19" s="316" t="s">
        <v>340</v>
      </c>
      <c r="AG19" s="316">
        <v>2</v>
      </c>
      <c r="AH19" s="316" t="s">
        <v>341</v>
      </c>
      <c r="AI19" s="316">
        <v>2</v>
      </c>
      <c r="AJ19" s="318" t="s">
        <v>342</v>
      </c>
      <c r="AK19" s="319">
        <v>1</v>
      </c>
    </row>
    <row r="20" spans="1:37">
      <c r="A20" s="258"/>
      <c r="B20" s="258"/>
      <c r="C20" s="258"/>
      <c r="D20" s="258"/>
      <c r="E20" s="258"/>
      <c r="F20" s="258"/>
      <c r="G20" s="258"/>
      <c r="H20" s="258"/>
      <c r="I20" s="258"/>
      <c r="J20" s="258"/>
      <c r="K20" s="258"/>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row>
    <row r="21" spans="1:37">
      <c r="A21" s="258"/>
      <c r="B21" s="258"/>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row>
    <row r="22" spans="1:37">
      <c r="A22" s="258"/>
      <c r="B22" s="258"/>
      <c r="C22" s="258"/>
      <c r="D22" s="258"/>
      <c r="E22" s="258"/>
      <c r="F22" s="258"/>
      <c r="G22" s="258"/>
      <c r="H22" s="258"/>
      <c r="I22" s="258"/>
      <c r="J22" s="258"/>
      <c r="K22" s="258"/>
      <c r="L22" s="258"/>
      <c r="M22" s="258"/>
      <c r="N22" s="258"/>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row>
    <row r="23" spans="1:37">
      <c r="A23" s="258"/>
      <c r="B23" s="258"/>
      <c r="C23" s="258"/>
      <c r="D23" s="258"/>
      <c r="E23" s="258"/>
      <c r="F23" s="258"/>
      <c r="G23" s="258"/>
      <c r="H23" s="258"/>
      <c r="I23" s="258"/>
      <c r="J23" s="258"/>
      <c r="K23" s="258"/>
      <c r="L23" s="258"/>
      <c r="M23" s="258"/>
      <c r="N23" s="258"/>
      <c r="O23" s="258"/>
      <c r="P23" s="258"/>
      <c r="Q23" s="258"/>
      <c r="R23" s="258"/>
      <c r="S23" s="258"/>
      <c r="T23" s="258"/>
      <c r="U23" s="258"/>
      <c r="V23" s="258"/>
      <c r="W23" s="258"/>
      <c r="X23" s="258"/>
      <c r="Y23" s="258"/>
      <c r="Z23" s="258"/>
      <c r="AA23" s="258"/>
      <c r="AB23" s="258"/>
      <c r="AC23" s="258"/>
      <c r="AD23" s="258"/>
      <c r="AE23" s="258"/>
      <c r="AF23" s="258"/>
      <c r="AG23" s="258"/>
      <c r="AH23" s="258"/>
      <c r="AI23" s="258"/>
      <c r="AJ23" s="258"/>
      <c r="AK23" s="258"/>
    </row>
    <row r="24" spans="1:37">
      <c r="A24" s="258"/>
      <c r="B24" s="258"/>
      <c r="C24" s="258"/>
      <c r="D24" s="258"/>
      <c r="E24" s="258"/>
      <c r="F24" s="258"/>
      <c r="G24" s="258"/>
      <c r="H24" s="258"/>
      <c r="I24" s="258"/>
      <c r="J24" s="258"/>
      <c r="K24" s="258"/>
      <c r="L24" s="258"/>
      <c r="M24" s="258"/>
      <c r="N24" s="258"/>
      <c r="O24" s="258"/>
      <c r="P24" s="258"/>
      <c r="Q24" s="258"/>
      <c r="R24" s="258"/>
      <c r="S24" s="258"/>
      <c r="T24" s="258"/>
      <c r="U24" s="258"/>
      <c r="V24" s="258"/>
      <c r="W24" s="258"/>
      <c r="X24" s="258"/>
      <c r="Y24" s="258"/>
      <c r="Z24" s="258"/>
      <c r="AA24" s="258"/>
      <c r="AB24" s="258"/>
      <c r="AC24" s="258"/>
      <c r="AD24" s="258"/>
      <c r="AE24" s="258"/>
      <c r="AF24" s="258"/>
      <c r="AG24" s="258"/>
      <c r="AH24" s="258"/>
      <c r="AI24" s="258"/>
      <c r="AJ24" s="258"/>
      <c r="AK24" s="258"/>
    </row>
    <row r="25" spans="1:37">
      <c r="A25" s="258"/>
      <c r="B25" s="258"/>
      <c r="C25" s="258"/>
      <c r="D25" s="258"/>
      <c r="E25" s="258"/>
      <c r="F25" s="258"/>
      <c r="G25" s="258"/>
      <c r="H25" s="258"/>
      <c r="I25" s="258"/>
      <c r="J25" s="258"/>
      <c r="K25" s="258"/>
      <c r="L25" s="258"/>
      <c r="M25" s="258"/>
      <c r="N25" s="258"/>
      <c r="O25" s="258"/>
      <c r="P25" s="258"/>
      <c r="Q25" s="258"/>
      <c r="R25" s="258"/>
      <c r="S25" s="258"/>
      <c r="T25" s="258"/>
      <c r="U25" s="258"/>
      <c r="V25" s="258"/>
      <c r="W25" s="258"/>
      <c r="X25" s="258"/>
      <c r="Y25" s="258"/>
      <c r="Z25" s="258"/>
      <c r="AA25" s="258"/>
      <c r="AB25" s="258"/>
      <c r="AC25" s="258"/>
      <c r="AD25" s="258"/>
      <c r="AE25" s="258"/>
      <c r="AF25" s="258"/>
      <c r="AG25" s="258"/>
      <c r="AH25" s="258"/>
      <c r="AI25" s="258"/>
      <c r="AJ25" s="258"/>
      <c r="AK25" s="258"/>
    </row>
    <row r="26" spans="1:37">
      <c r="A26" s="258"/>
      <c r="B26" s="258"/>
      <c r="C26" s="258"/>
      <c r="D26" s="258"/>
      <c r="E26" s="258"/>
      <c r="F26" s="258"/>
      <c r="G26" s="258"/>
      <c r="H26" s="258"/>
      <c r="I26" s="258"/>
      <c r="J26" s="258"/>
      <c r="K26" s="258"/>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row>
    <row r="27" spans="1:37">
      <c r="A27" s="258"/>
      <c r="B27" s="258"/>
      <c r="C27" s="258"/>
      <c r="D27" s="258"/>
      <c r="E27" s="258"/>
      <c r="F27" s="258"/>
      <c r="G27" s="258"/>
      <c r="H27" s="258"/>
      <c r="I27" s="258"/>
      <c r="J27" s="258"/>
      <c r="K27" s="258"/>
      <c r="L27" s="258"/>
      <c r="M27" s="258"/>
      <c r="N27" s="258"/>
      <c r="O27" s="258"/>
      <c r="P27" s="258"/>
      <c r="Q27" s="258"/>
      <c r="R27" s="258"/>
      <c r="S27" s="258"/>
      <c r="T27" s="258"/>
      <c r="U27" s="258"/>
      <c r="V27" s="258"/>
      <c r="W27" s="258"/>
      <c r="X27" s="258"/>
      <c r="Y27" s="258"/>
      <c r="Z27" s="258"/>
      <c r="AA27" s="258"/>
      <c r="AB27" s="258"/>
      <c r="AC27" s="258"/>
      <c r="AD27" s="258"/>
      <c r="AE27" s="258"/>
      <c r="AF27" s="258"/>
      <c r="AG27" s="258"/>
      <c r="AH27" s="258"/>
      <c r="AI27" s="258"/>
      <c r="AJ27" s="258"/>
      <c r="AK27" s="258"/>
    </row>
    <row r="28" spans="1:37">
      <c r="A28" s="258"/>
      <c r="B28" s="258"/>
      <c r="C28" s="258"/>
      <c r="D28" s="258"/>
      <c r="E28" s="258"/>
      <c r="F28" s="258"/>
      <c r="G28" s="258"/>
      <c r="H28" s="258"/>
      <c r="I28" s="258"/>
      <c r="J28" s="258"/>
      <c r="K28" s="258"/>
      <c r="L28" s="258"/>
      <c r="M28" s="258"/>
      <c r="N28" s="258"/>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row>
    <row r="29" spans="1:37">
      <c r="A29" s="258"/>
      <c r="B29" s="258"/>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row>
    <row r="30" spans="1:37">
      <c r="A30" s="258"/>
      <c r="B30" s="258"/>
      <c r="C30" s="258"/>
      <c r="D30" s="258"/>
      <c r="E30" s="258"/>
      <c r="F30" s="258"/>
      <c r="G30" s="258"/>
      <c r="H30" s="258"/>
      <c r="I30" s="258"/>
      <c r="J30" s="258"/>
      <c r="K30" s="258"/>
      <c r="L30" s="258"/>
      <c r="M30" s="258"/>
      <c r="N30" s="258"/>
      <c r="O30" s="258"/>
      <c r="P30" s="258"/>
      <c r="Q30" s="258"/>
      <c r="R30" s="258"/>
      <c r="S30" s="258"/>
      <c r="T30" s="258"/>
      <c r="U30" s="258"/>
      <c r="V30" s="258"/>
      <c r="W30" s="258"/>
      <c r="X30" s="258"/>
      <c r="Y30" s="258"/>
      <c r="Z30" s="258"/>
      <c r="AA30" s="258"/>
      <c r="AB30" s="258"/>
      <c r="AC30" s="258"/>
      <c r="AD30" s="258"/>
      <c r="AE30" s="258"/>
      <c r="AF30" s="258"/>
      <c r="AG30" s="258"/>
      <c r="AH30" s="258"/>
      <c r="AI30" s="258"/>
      <c r="AJ30" s="258"/>
      <c r="AK30" s="258"/>
    </row>
    <row r="31" spans="1:37" ht="40.5">
      <c r="A31" s="269" t="s">
        <v>226</v>
      </c>
      <c r="B31" s="270" t="s">
        <v>227</v>
      </c>
      <c r="C31" s="270" t="s">
        <v>228</v>
      </c>
      <c r="D31" s="270" t="s">
        <v>343</v>
      </c>
      <c r="E31" s="270"/>
      <c r="F31" s="270" t="s">
        <v>344</v>
      </c>
      <c r="G31" s="270"/>
      <c r="H31" s="270" t="s">
        <v>345</v>
      </c>
      <c r="I31" s="270"/>
      <c r="J31" s="270" t="s">
        <v>346</v>
      </c>
      <c r="K31" s="270"/>
      <c r="L31" s="270" t="s">
        <v>237</v>
      </c>
      <c r="M31" s="320"/>
      <c r="N31" s="258"/>
      <c r="O31" s="258"/>
      <c r="P31" s="258"/>
      <c r="Q31" s="258"/>
      <c r="R31" s="258"/>
      <c r="S31" s="258"/>
      <c r="T31" s="258"/>
      <c r="U31" s="258"/>
      <c r="V31" s="258"/>
      <c r="W31" s="258"/>
      <c r="X31" s="258"/>
      <c r="Y31" s="258"/>
      <c r="Z31" s="258"/>
      <c r="AA31" s="258"/>
      <c r="AB31" s="258"/>
      <c r="AC31" s="258"/>
      <c r="AD31" s="258"/>
      <c r="AE31" s="258"/>
      <c r="AF31" s="258"/>
      <c r="AG31" s="258"/>
      <c r="AH31" s="258"/>
      <c r="AI31" s="258"/>
      <c r="AJ31" s="258"/>
      <c r="AK31" s="258"/>
    </row>
    <row r="32" spans="1:37">
      <c r="A32" s="321">
        <v>2023</v>
      </c>
      <c r="B32" s="322" t="s">
        <v>246</v>
      </c>
      <c r="C32" s="322" t="s">
        <v>246</v>
      </c>
      <c r="D32" s="322" t="s">
        <v>246</v>
      </c>
      <c r="E32" s="322" t="s">
        <v>247</v>
      </c>
      <c r="F32" s="322" t="s">
        <v>246</v>
      </c>
      <c r="G32" s="322" t="s">
        <v>247</v>
      </c>
      <c r="H32" s="322" t="s">
        <v>246</v>
      </c>
      <c r="I32" s="322" t="s">
        <v>247</v>
      </c>
      <c r="J32" s="322" t="s">
        <v>246</v>
      </c>
      <c r="K32" s="322" t="s">
        <v>247</v>
      </c>
      <c r="L32" s="322" t="s">
        <v>246</v>
      </c>
      <c r="M32" s="323" t="s">
        <v>247</v>
      </c>
      <c r="N32" s="258"/>
      <c r="O32" s="258"/>
      <c r="P32" s="258"/>
      <c r="Q32" s="258"/>
      <c r="R32" s="258"/>
      <c r="S32" s="258"/>
      <c r="T32" s="258"/>
      <c r="U32" s="258"/>
      <c r="V32" s="258"/>
      <c r="W32" s="258"/>
      <c r="X32" s="258"/>
      <c r="Y32" s="258"/>
      <c r="Z32" s="258"/>
      <c r="AA32" s="258"/>
      <c r="AB32" s="258"/>
      <c r="AC32" s="258"/>
      <c r="AD32" s="258"/>
      <c r="AE32" s="258"/>
      <c r="AF32" s="258"/>
      <c r="AG32" s="258"/>
      <c r="AH32" s="258"/>
      <c r="AI32" s="258"/>
      <c r="AJ32" s="258"/>
      <c r="AK32" s="258"/>
    </row>
    <row r="33" spans="1:37">
      <c r="A33" s="324" t="s">
        <v>248</v>
      </c>
      <c r="B33" s="325" t="s">
        <v>246</v>
      </c>
      <c r="C33" s="325" t="s">
        <v>246</v>
      </c>
      <c r="D33" s="325">
        <v>375.26299999999998</v>
      </c>
      <c r="E33" s="325" t="s">
        <v>246</v>
      </c>
      <c r="F33" s="325">
        <v>294.86700000000002</v>
      </c>
      <c r="G33" s="325" t="s">
        <v>246</v>
      </c>
      <c r="H33" s="325">
        <v>199.667</v>
      </c>
      <c r="I33" s="325" t="s">
        <v>246</v>
      </c>
      <c r="J33" s="325">
        <v>101.47</v>
      </c>
      <c r="K33" s="325" t="s">
        <v>246</v>
      </c>
      <c r="L33" s="325">
        <v>302.66699999999997</v>
      </c>
      <c r="M33" s="326" t="s">
        <v>246</v>
      </c>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row>
    <row r="34" spans="1:37">
      <c r="A34" s="327" t="s">
        <v>255</v>
      </c>
      <c r="B34" s="328" t="s">
        <v>246</v>
      </c>
      <c r="C34" s="328" t="s">
        <v>246</v>
      </c>
      <c r="D34" s="328">
        <v>174.88800000000001</v>
      </c>
      <c r="E34" s="328" t="s">
        <v>246</v>
      </c>
      <c r="F34" s="328">
        <v>151.041</v>
      </c>
      <c r="G34" s="328" t="s">
        <v>246</v>
      </c>
      <c r="H34" s="328">
        <v>118.149</v>
      </c>
      <c r="I34" s="328" t="s">
        <v>246</v>
      </c>
      <c r="J34" s="328">
        <v>50.098999999999997</v>
      </c>
      <c r="K34" s="328" t="s">
        <v>246</v>
      </c>
      <c r="L34" s="328">
        <v>309.10700000000003</v>
      </c>
      <c r="M34" s="329" t="s">
        <v>246</v>
      </c>
      <c r="N34" s="258"/>
      <c r="O34" s="258"/>
      <c r="P34" s="258"/>
      <c r="Q34" s="258"/>
      <c r="R34" s="258"/>
      <c r="S34" s="258"/>
      <c r="T34" s="258"/>
      <c r="U34" s="258"/>
      <c r="V34" s="258"/>
      <c r="W34" s="258"/>
      <c r="X34" s="258"/>
      <c r="Y34" s="258"/>
      <c r="Z34" s="258"/>
      <c r="AA34" s="258"/>
      <c r="AB34" s="258"/>
      <c r="AC34" s="258"/>
      <c r="AD34" s="258"/>
      <c r="AE34" s="258"/>
      <c r="AF34" s="258"/>
      <c r="AG34" s="258"/>
      <c r="AH34" s="258"/>
      <c r="AI34" s="258"/>
      <c r="AJ34" s="258"/>
      <c r="AK34" s="258"/>
    </row>
    <row r="35" spans="1:37">
      <c r="A35" s="324" t="s">
        <v>261</v>
      </c>
      <c r="B35" s="325" t="s">
        <v>246</v>
      </c>
      <c r="C35" s="325" t="s">
        <v>246</v>
      </c>
      <c r="D35" s="325">
        <v>399.459</v>
      </c>
      <c r="E35" s="325" t="s">
        <v>246</v>
      </c>
      <c r="F35" s="325">
        <v>359.89699999999999</v>
      </c>
      <c r="G35" s="325" t="s">
        <v>246</v>
      </c>
      <c r="H35" s="325">
        <v>234.83199999999999</v>
      </c>
      <c r="I35" s="325" t="s">
        <v>246</v>
      </c>
      <c r="J35" s="325">
        <v>88.31</v>
      </c>
      <c r="K35" s="325" t="s">
        <v>246</v>
      </c>
      <c r="L35" s="325">
        <v>436.21499999999997</v>
      </c>
      <c r="M35" s="326" t="s">
        <v>246</v>
      </c>
      <c r="N35" s="258"/>
      <c r="O35" s="258"/>
      <c r="P35" s="258"/>
      <c r="Q35" s="258"/>
      <c r="R35" s="258"/>
      <c r="S35" s="258"/>
      <c r="T35" s="258"/>
      <c r="U35" s="258"/>
      <c r="V35" s="258"/>
      <c r="W35" s="258"/>
      <c r="X35" s="258"/>
      <c r="Y35" s="258"/>
      <c r="Z35" s="258"/>
      <c r="AA35" s="258"/>
      <c r="AB35" s="258"/>
      <c r="AC35" s="258"/>
      <c r="AD35" s="258"/>
      <c r="AE35" s="258"/>
      <c r="AF35" s="258"/>
      <c r="AG35" s="258"/>
      <c r="AH35" s="258"/>
      <c r="AI35" s="258"/>
      <c r="AJ35" s="258"/>
      <c r="AK35" s="258"/>
    </row>
    <row r="36" spans="1:37">
      <c r="A36" s="330" t="s">
        <v>292</v>
      </c>
      <c r="B36" s="331" t="s">
        <v>268</v>
      </c>
      <c r="C36" s="331">
        <v>2023</v>
      </c>
      <c r="D36" s="331">
        <v>654.84400000000005</v>
      </c>
      <c r="E36" s="331">
        <v>1</v>
      </c>
      <c r="F36" s="331">
        <v>244.25399999999999</v>
      </c>
      <c r="G36" s="331">
        <v>4</v>
      </c>
      <c r="H36" s="331">
        <v>378.14600000000002</v>
      </c>
      <c r="I36" s="331">
        <v>1</v>
      </c>
      <c r="J36" s="331">
        <v>101.47</v>
      </c>
      <c r="K36" s="331">
        <v>3</v>
      </c>
      <c r="L36" s="331">
        <v>419.48200000000003</v>
      </c>
      <c r="M36" s="332">
        <v>2</v>
      </c>
      <c r="N36" s="258"/>
      <c r="O36" s="258"/>
      <c r="P36" s="258"/>
      <c r="Q36" s="258"/>
      <c r="R36" s="258"/>
      <c r="S36" s="258"/>
      <c r="T36" s="258"/>
      <c r="U36" s="258"/>
      <c r="V36" s="258"/>
      <c r="W36" s="258"/>
      <c r="X36" s="258"/>
      <c r="Y36" s="258"/>
      <c r="Z36" s="258"/>
      <c r="AA36" s="258"/>
      <c r="AB36" s="258"/>
      <c r="AC36" s="258"/>
      <c r="AD36" s="258"/>
      <c r="AE36" s="258"/>
      <c r="AF36" s="258"/>
      <c r="AG36" s="258"/>
      <c r="AH36" s="258"/>
      <c r="AI36" s="258"/>
      <c r="AJ36" s="258"/>
      <c r="AK36" s="258"/>
    </row>
    <row r="37" spans="1:37">
      <c r="A37" s="333" t="s">
        <v>282</v>
      </c>
      <c r="B37" s="334" t="s">
        <v>274</v>
      </c>
      <c r="C37" s="334">
        <v>2023</v>
      </c>
      <c r="D37" s="334">
        <v>517.37</v>
      </c>
      <c r="E37" s="334">
        <v>2</v>
      </c>
      <c r="F37" s="334">
        <v>625.06799999999998</v>
      </c>
      <c r="G37" s="334">
        <v>1</v>
      </c>
      <c r="H37" s="334">
        <v>53.265000000000001</v>
      </c>
      <c r="I37" s="334">
        <v>5</v>
      </c>
      <c r="J37" s="334">
        <v>57.764000000000003</v>
      </c>
      <c r="K37" s="334">
        <v>4</v>
      </c>
      <c r="L37" s="334" t="s">
        <v>287</v>
      </c>
      <c r="M37" s="335">
        <v>1</v>
      </c>
      <c r="N37" s="258"/>
      <c r="O37" s="258"/>
      <c r="P37" s="258"/>
      <c r="Q37" s="258"/>
      <c r="R37" s="258"/>
      <c r="S37" s="258"/>
      <c r="T37" s="258"/>
      <c r="U37" s="258"/>
      <c r="V37" s="258"/>
      <c r="W37" s="258"/>
      <c r="X37" s="258"/>
      <c r="Y37" s="258"/>
      <c r="Z37" s="258"/>
      <c r="AA37" s="258"/>
      <c r="AB37" s="258"/>
      <c r="AC37" s="258"/>
      <c r="AD37" s="258"/>
      <c r="AE37" s="258"/>
      <c r="AF37" s="258"/>
      <c r="AG37" s="258"/>
      <c r="AH37" s="258"/>
      <c r="AI37" s="258"/>
      <c r="AJ37" s="258"/>
      <c r="AK37" s="258"/>
    </row>
    <row r="38" spans="1:37">
      <c r="A38" s="330" t="s">
        <v>267</v>
      </c>
      <c r="B38" s="331" t="s">
        <v>268</v>
      </c>
      <c r="C38" s="331">
        <v>2023</v>
      </c>
      <c r="D38" s="331">
        <v>375.26299999999998</v>
      </c>
      <c r="E38" s="331">
        <v>3</v>
      </c>
      <c r="F38" s="331">
        <v>423.899</v>
      </c>
      <c r="G38" s="331">
        <v>2</v>
      </c>
      <c r="H38" s="331">
        <v>350.15100000000001</v>
      </c>
      <c r="I38" s="331">
        <v>2</v>
      </c>
      <c r="J38" s="331">
        <v>146.34399999999999</v>
      </c>
      <c r="K38" s="331">
        <v>1</v>
      </c>
      <c r="L38" s="331">
        <v>302.66699999999997</v>
      </c>
      <c r="M38" s="332">
        <v>3</v>
      </c>
      <c r="N38" s="258"/>
      <c r="O38" s="258"/>
      <c r="P38" s="258"/>
      <c r="Q38" s="258"/>
      <c r="R38" s="258"/>
      <c r="S38" s="258"/>
      <c r="T38" s="258"/>
      <c r="U38" s="258"/>
      <c r="V38" s="258"/>
      <c r="W38" s="258"/>
      <c r="X38" s="258"/>
      <c r="Y38" s="258"/>
      <c r="Z38" s="258"/>
      <c r="AA38" s="258"/>
      <c r="AB38" s="258"/>
      <c r="AC38" s="258"/>
      <c r="AD38" s="258"/>
      <c r="AE38" s="258"/>
      <c r="AF38" s="258"/>
      <c r="AG38" s="258"/>
      <c r="AH38" s="258"/>
      <c r="AI38" s="258"/>
      <c r="AJ38" s="258"/>
      <c r="AK38" s="258"/>
    </row>
    <row r="39" spans="1:37">
      <c r="A39" s="336" t="s">
        <v>278</v>
      </c>
      <c r="B39" s="337" t="s">
        <v>268</v>
      </c>
      <c r="C39" s="337">
        <v>2023</v>
      </c>
      <c r="D39" s="337">
        <v>303.28300000000002</v>
      </c>
      <c r="E39" s="337">
        <v>4</v>
      </c>
      <c r="F39" s="337">
        <v>294.86700000000002</v>
      </c>
      <c r="G39" s="337">
        <v>3</v>
      </c>
      <c r="H39" s="337">
        <v>199.667</v>
      </c>
      <c r="I39" s="337">
        <v>3</v>
      </c>
      <c r="J39" s="337">
        <v>128.19</v>
      </c>
      <c r="K39" s="337">
        <v>2</v>
      </c>
      <c r="L39" s="337">
        <v>270.29300000000001</v>
      </c>
      <c r="M39" s="338">
        <v>4</v>
      </c>
      <c r="N39" s="258"/>
      <c r="O39" s="258"/>
      <c r="P39" s="258"/>
      <c r="Q39" s="258"/>
      <c r="R39" s="258"/>
      <c r="S39" s="258"/>
      <c r="T39" s="258"/>
      <c r="U39" s="258"/>
      <c r="V39" s="258"/>
      <c r="W39" s="258"/>
      <c r="X39" s="258"/>
      <c r="Y39" s="258"/>
      <c r="Z39" s="258"/>
      <c r="AA39" s="258"/>
      <c r="AB39" s="258"/>
      <c r="AC39" s="258"/>
      <c r="AD39" s="258"/>
      <c r="AE39" s="258"/>
      <c r="AF39" s="258"/>
      <c r="AG39" s="258"/>
      <c r="AH39" s="258"/>
      <c r="AI39" s="258"/>
      <c r="AJ39" s="258"/>
      <c r="AK39" s="258"/>
    </row>
    <row r="40" spans="1:37">
      <c r="A40" s="339" t="s">
        <v>273</v>
      </c>
      <c r="B40" s="340" t="s">
        <v>274</v>
      </c>
      <c r="C40" s="340">
        <v>2023</v>
      </c>
      <c r="D40" s="340">
        <v>146.536</v>
      </c>
      <c r="E40" s="340">
        <v>5</v>
      </c>
      <c r="F40" s="340">
        <v>211.39699999999999</v>
      </c>
      <c r="G40" s="340">
        <v>5</v>
      </c>
      <c r="H40" s="340">
        <v>192.929</v>
      </c>
      <c r="I40" s="340">
        <v>4</v>
      </c>
      <c r="J40" s="340">
        <v>7.78</v>
      </c>
      <c r="K40" s="340">
        <v>5</v>
      </c>
      <c r="L40" s="340">
        <v>157.22399999999999</v>
      </c>
      <c r="M40" s="341">
        <v>5</v>
      </c>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row>
    <row r="41" spans="1:37">
      <c r="A41" s="321">
        <v>2022</v>
      </c>
      <c r="B41" s="322" t="s">
        <v>246</v>
      </c>
      <c r="C41" s="322" t="s">
        <v>246</v>
      </c>
      <c r="D41" s="322" t="s">
        <v>246</v>
      </c>
      <c r="E41" s="322" t="s">
        <v>247</v>
      </c>
      <c r="F41" s="322" t="s">
        <v>246</v>
      </c>
      <c r="G41" s="322" t="s">
        <v>247</v>
      </c>
      <c r="H41" s="322" t="s">
        <v>246</v>
      </c>
      <c r="I41" s="322" t="s">
        <v>247</v>
      </c>
      <c r="J41" s="322" t="s">
        <v>246</v>
      </c>
      <c r="K41" s="322" t="s">
        <v>247</v>
      </c>
      <c r="L41" s="322" t="s">
        <v>246</v>
      </c>
      <c r="M41" s="323" t="s">
        <v>247</v>
      </c>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row>
    <row r="42" spans="1:37">
      <c r="A42" s="342" t="s">
        <v>248</v>
      </c>
      <c r="B42" s="343" t="s">
        <v>246</v>
      </c>
      <c r="C42" s="343" t="s">
        <v>246</v>
      </c>
      <c r="D42" s="343">
        <v>361.46600000000001</v>
      </c>
      <c r="E42" s="343" t="s">
        <v>246</v>
      </c>
      <c r="F42" s="343">
        <v>310.524</v>
      </c>
      <c r="G42" s="343" t="s">
        <v>246</v>
      </c>
      <c r="H42" s="343">
        <v>242.86699999999999</v>
      </c>
      <c r="I42" s="343" t="s">
        <v>246</v>
      </c>
      <c r="J42" s="343">
        <v>100.45399999999999</v>
      </c>
      <c r="K42" s="343" t="s">
        <v>246</v>
      </c>
      <c r="L42" s="343">
        <v>371.01299999999998</v>
      </c>
      <c r="M42" s="344" t="s">
        <v>246</v>
      </c>
      <c r="N42" s="258"/>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row>
    <row r="43" spans="1:37">
      <c r="A43" s="327" t="s">
        <v>255</v>
      </c>
      <c r="B43" s="328" t="s">
        <v>246</v>
      </c>
      <c r="C43" s="328" t="s">
        <v>246</v>
      </c>
      <c r="D43" s="328">
        <v>175.10599999999999</v>
      </c>
      <c r="E43" s="328" t="s">
        <v>246</v>
      </c>
      <c r="F43" s="328">
        <v>189.20599999999999</v>
      </c>
      <c r="G43" s="328" t="s">
        <v>246</v>
      </c>
      <c r="H43" s="328">
        <v>85.51</v>
      </c>
      <c r="I43" s="328" t="s">
        <v>246</v>
      </c>
      <c r="J43" s="328">
        <v>38.195999999999998</v>
      </c>
      <c r="K43" s="328" t="s">
        <v>246</v>
      </c>
      <c r="L43" s="328">
        <v>250.697</v>
      </c>
      <c r="M43" s="329" t="s">
        <v>246</v>
      </c>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row>
    <row r="44" spans="1:37">
      <c r="A44" s="324" t="s">
        <v>261</v>
      </c>
      <c r="B44" s="325" t="s">
        <v>246</v>
      </c>
      <c r="C44" s="325" t="s">
        <v>246</v>
      </c>
      <c r="D44" s="325">
        <v>358.67099999999999</v>
      </c>
      <c r="E44" s="325" t="s">
        <v>246</v>
      </c>
      <c r="F44" s="325">
        <v>404.87299999999999</v>
      </c>
      <c r="G44" s="325" t="s">
        <v>246</v>
      </c>
      <c r="H44" s="325">
        <v>240.22300000000001</v>
      </c>
      <c r="I44" s="325" t="s">
        <v>246</v>
      </c>
      <c r="J44" s="325">
        <v>99.822000000000003</v>
      </c>
      <c r="K44" s="325" t="s">
        <v>246</v>
      </c>
      <c r="L44" s="325">
        <v>423.5</v>
      </c>
      <c r="M44" s="326" t="s">
        <v>246</v>
      </c>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row>
    <row r="45" spans="1:37">
      <c r="A45" s="330" t="s">
        <v>292</v>
      </c>
      <c r="B45" s="331" t="s">
        <v>268</v>
      </c>
      <c r="C45" s="331">
        <v>2022</v>
      </c>
      <c r="D45" s="331">
        <v>625.99300000000005</v>
      </c>
      <c r="E45" s="331">
        <v>1</v>
      </c>
      <c r="F45" s="331">
        <v>237.10900000000001</v>
      </c>
      <c r="G45" s="331">
        <v>5</v>
      </c>
      <c r="H45" s="331">
        <v>346.39100000000002</v>
      </c>
      <c r="I45" s="331">
        <v>1</v>
      </c>
      <c r="J45" s="331">
        <v>100.45399999999999</v>
      </c>
      <c r="K45" s="331">
        <v>3</v>
      </c>
      <c r="L45" s="331">
        <v>416.25700000000001</v>
      </c>
      <c r="M45" s="332">
        <v>2</v>
      </c>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row>
    <row r="46" spans="1:37">
      <c r="A46" s="333" t="s">
        <v>282</v>
      </c>
      <c r="B46" s="334" t="s">
        <v>274</v>
      </c>
      <c r="C46" s="334">
        <v>2022</v>
      </c>
      <c r="D46" s="334">
        <v>455.45100000000002</v>
      </c>
      <c r="E46" s="334">
        <v>2</v>
      </c>
      <c r="F46" s="334">
        <v>738.46199999999999</v>
      </c>
      <c r="G46" s="334">
        <v>1</v>
      </c>
      <c r="H46" s="334">
        <v>242.86699999999999</v>
      </c>
      <c r="I46" s="334">
        <v>3</v>
      </c>
      <c r="J46" s="334">
        <v>57.795999999999999</v>
      </c>
      <c r="K46" s="334">
        <v>5</v>
      </c>
      <c r="L46" s="334">
        <v>893.25</v>
      </c>
      <c r="M46" s="335">
        <v>1</v>
      </c>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row>
    <row r="47" spans="1:37">
      <c r="A47" s="330" t="s">
        <v>267</v>
      </c>
      <c r="B47" s="331" t="s">
        <v>268</v>
      </c>
      <c r="C47" s="331">
        <v>2022</v>
      </c>
      <c r="D47" s="331">
        <v>361.46600000000001</v>
      </c>
      <c r="E47" s="331">
        <v>3</v>
      </c>
      <c r="F47" s="331">
        <v>487.69299999999998</v>
      </c>
      <c r="G47" s="331">
        <v>2</v>
      </c>
      <c r="H47" s="331">
        <v>322.51799999999997</v>
      </c>
      <c r="I47" s="331">
        <v>2</v>
      </c>
      <c r="J47" s="331">
        <v>155.62799999999999</v>
      </c>
      <c r="K47" s="331">
        <v>1</v>
      </c>
      <c r="L47" s="331">
        <v>371.01299999999998</v>
      </c>
      <c r="M47" s="332">
        <v>3</v>
      </c>
      <c r="N47" s="258"/>
      <c r="O47" s="258"/>
      <c r="P47" s="258"/>
      <c r="Q47" s="258"/>
      <c r="R47" s="258"/>
      <c r="S47" s="258"/>
      <c r="T47" s="258"/>
      <c r="U47" s="258"/>
      <c r="V47" s="258"/>
      <c r="W47" s="258"/>
      <c r="X47" s="258"/>
      <c r="Y47" s="258"/>
      <c r="Z47" s="258"/>
      <c r="AA47" s="258"/>
      <c r="AB47" s="258"/>
      <c r="AC47" s="258"/>
      <c r="AD47" s="258"/>
      <c r="AE47" s="258"/>
      <c r="AF47" s="258"/>
      <c r="AG47" s="258"/>
      <c r="AH47" s="258"/>
      <c r="AI47" s="258"/>
      <c r="AJ47" s="258"/>
      <c r="AK47" s="258"/>
    </row>
    <row r="48" spans="1:37">
      <c r="A48" s="345" t="s">
        <v>278</v>
      </c>
      <c r="B48" s="346" t="s">
        <v>268</v>
      </c>
      <c r="C48" s="346">
        <v>2022</v>
      </c>
      <c r="D48" s="346">
        <v>226.06100000000001</v>
      </c>
      <c r="E48" s="346">
        <v>4</v>
      </c>
      <c r="F48" s="346">
        <v>310.524</v>
      </c>
      <c r="G48" s="346">
        <v>3</v>
      </c>
      <c r="H48" s="346">
        <v>133.554</v>
      </c>
      <c r="I48" s="346">
        <v>5</v>
      </c>
      <c r="J48" s="346">
        <v>126.602</v>
      </c>
      <c r="K48" s="346">
        <v>2</v>
      </c>
      <c r="L48" s="346">
        <v>276.42899999999997</v>
      </c>
      <c r="M48" s="347">
        <v>4</v>
      </c>
      <c r="N48" s="258"/>
      <c r="O48" s="258"/>
      <c r="P48" s="258"/>
      <c r="Q48" s="258"/>
      <c r="R48" s="258"/>
      <c r="S48" s="258"/>
      <c r="T48" s="258"/>
      <c r="U48" s="258"/>
      <c r="V48" s="258"/>
      <c r="W48" s="258"/>
      <c r="X48" s="258"/>
      <c r="Y48" s="258"/>
      <c r="Z48" s="258"/>
      <c r="AA48" s="258"/>
      <c r="AB48" s="258"/>
      <c r="AC48" s="258"/>
      <c r="AD48" s="258"/>
      <c r="AE48" s="258"/>
      <c r="AF48" s="258"/>
      <c r="AG48" s="258"/>
      <c r="AH48" s="258"/>
      <c r="AI48" s="258"/>
      <c r="AJ48" s="258"/>
      <c r="AK48" s="258"/>
    </row>
    <row r="49" spans="1:37">
      <c r="A49" s="339" t="s">
        <v>273</v>
      </c>
      <c r="B49" s="340" t="s">
        <v>274</v>
      </c>
      <c r="C49" s="340">
        <v>2022</v>
      </c>
      <c r="D49" s="340">
        <v>124.38500000000001</v>
      </c>
      <c r="E49" s="340">
        <v>5</v>
      </c>
      <c r="F49" s="340">
        <v>250.57900000000001</v>
      </c>
      <c r="G49" s="340">
        <v>4</v>
      </c>
      <c r="H49" s="340">
        <v>155.78299999999999</v>
      </c>
      <c r="I49" s="340">
        <v>4</v>
      </c>
      <c r="J49" s="340">
        <v>58.631</v>
      </c>
      <c r="K49" s="340">
        <v>4</v>
      </c>
      <c r="L49" s="340">
        <v>160.55000000000001</v>
      </c>
      <c r="M49" s="341">
        <v>5</v>
      </c>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row>
  </sheetData>
  <mergeCells count="17">
    <mergeCell ref="AB1:AC1"/>
    <mergeCell ref="AD1:AE1"/>
    <mergeCell ref="AF1:AG1"/>
    <mergeCell ref="AH1:AI1"/>
    <mergeCell ref="AJ1:AK1"/>
    <mergeCell ref="Z1:AA1"/>
    <mergeCell ref="D1:E1"/>
    <mergeCell ref="F1:G1"/>
    <mergeCell ref="H1:I1"/>
    <mergeCell ref="J1:K1"/>
    <mergeCell ref="L1:M1"/>
    <mergeCell ref="N1:O1"/>
    <mergeCell ref="P1:Q1"/>
    <mergeCell ref="R1:S1"/>
    <mergeCell ref="T1:U1"/>
    <mergeCell ref="V1:W1"/>
    <mergeCell ref="X1:Y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8A9A-7092-403D-868B-057A01F4BF45}">
  <sheetPr>
    <tabColor rgb="FF1B2A4A"/>
  </sheetPr>
  <dimension ref="A1:AJ40"/>
  <sheetViews>
    <sheetView topLeftCell="A41" workbookViewId="0">
      <selection activeCell="AA14" sqref="AA14"/>
    </sheetView>
  </sheetViews>
  <sheetFormatPr defaultColWidth="8.85546875" defaultRowHeight="15"/>
  <cols>
    <col min="4" max="4" width="13.28515625" bestFit="1" customWidth="1"/>
    <col min="5" max="5" width="12.85546875" bestFit="1" customWidth="1"/>
    <col min="6" max="6" width="15.7109375" bestFit="1" customWidth="1"/>
    <col min="7" max="7" width="11.140625" customWidth="1"/>
    <col min="20" max="22" width="12.140625" bestFit="1" customWidth="1"/>
    <col min="23" max="23" width="10.42578125" customWidth="1"/>
    <col min="30" max="30" width="9.5703125" bestFit="1" customWidth="1"/>
  </cols>
  <sheetData>
    <row r="1" spans="1:36" ht="30" customHeight="1">
      <c r="A1" s="502" t="s">
        <v>347</v>
      </c>
      <c r="B1" s="503"/>
      <c r="C1" s="503"/>
      <c r="D1" s="503"/>
      <c r="E1" s="503"/>
      <c r="F1" s="503"/>
      <c r="G1" s="503"/>
      <c r="H1" s="503"/>
      <c r="I1" s="503"/>
      <c r="J1" s="503"/>
      <c r="K1" s="503"/>
      <c r="L1" s="503"/>
      <c r="M1" s="503"/>
      <c r="N1" s="503"/>
      <c r="O1" s="503"/>
      <c r="P1" s="503"/>
      <c r="Q1" s="503"/>
      <c r="R1" s="503"/>
      <c r="S1" s="503"/>
      <c r="T1" s="503"/>
      <c r="U1" s="503"/>
      <c r="V1" s="503"/>
      <c r="W1" s="504"/>
    </row>
    <row r="2" spans="1:36">
      <c r="A2" s="258"/>
      <c r="B2" s="258"/>
      <c r="C2" s="258"/>
      <c r="D2" s="258"/>
      <c r="E2" s="360"/>
      <c r="F2" s="258"/>
      <c r="G2" s="258"/>
      <c r="H2" s="258"/>
      <c r="I2" s="258"/>
      <c r="J2" s="258"/>
      <c r="K2" s="258"/>
      <c r="L2" s="258"/>
      <c r="M2" s="258"/>
      <c r="N2" s="258"/>
      <c r="O2" s="258"/>
      <c r="P2" s="258"/>
      <c r="Q2" s="258"/>
      <c r="R2" s="258"/>
      <c r="S2" s="258"/>
      <c r="T2" s="258"/>
      <c r="U2" s="258"/>
      <c r="V2" s="258"/>
      <c r="W2" s="258"/>
    </row>
    <row r="3" spans="1:36">
      <c r="A3" s="258"/>
      <c r="B3" s="258"/>
      <c r="C3" s="505" t="s">
        <v>348</v>
      </c>
      <c r="D3" s="551"/>
      <c r="E3" s="551"/>
      <c r="F3" s="551"/>
      <c r="G3" s="552"/>
      <c r="H3" s="258"/>
      <c r="I3" s="258"/>
      <c r="J3" s="258"/>
      <c r="K3" s="258"/>
      <c r="L3" s="258"/>
      <c r="M3" s="258"/>
      <c r="N3" s="258"/>
      <c r="O3" s="258"/>
      <c r="P3" s="258"/>
      <c r="Q3" s="258"/>
      <c r="R3" s="258"/>
      <c r="S3" s="505" t="s">
        <v>349</v>
      </c>
      <c r="T3" s="551"/>
      <c r="U3" s="551"/>
      <c r="V3" s="551"/>
      <c r="W3" s="552"/>
      <c r="AC3" s="534" t="s">
        <v>350</v>
      </c>
      <c r="AD3" s="535"/>
      <c r="AE3" s="535"/>
      <c r="AF3" s="535"/>
      <c r="AG3" s="535"/>
      <c r="AH3" s="535"/>
      <c r="AI3" s="535"/>
      <c r="AJ3" s="535"/>
    </row>
    <row r="4" spans="1:36">
      <c r="A4" s="258"/>
      <c r="B4" s="258"/>
      <c r="C4" s="258"/>
      <c r="D4" s="258"/>
      <c r="E4" s="258"/>
      <c r="F4" s="258"/>
      <c r="G4" s="258"/>
      <c r="H4" s="258"/>
      <c r="I4" s="258"/>
      <c r="J4" s="258"/>
      <c r="K4" s="258"/>
      <c r="L4" s="258"/>
      <c r="M4" s="258"/>
      <c r="N4" s="258"/>
      <c r="O4" s="258"/>
      <c r="P4" s="258"/>
      <c r="Q4" s="258"/>
      <c r="R4" s="258"/>
      <c r="S4" s="258"/>
      <c r="T4" s="258"/>
      <c r="U4" s="258"/>
      <c r="V4" s="258"/>
      <c r="W4" s="258"/>
      <c r="AC4" s="535"/>
      <c r="AD4" s="536" t="s">
        <v>351</v>
      </c>
      <c r="AE4" s="536" t="s">
        <v>352</v>
      </c>
      <c r="AF4" s="536" t="s">
        <v>353</v>
      </c>
      <c r="AG4" s="536" t="s">
        <v>354</v>
      </c>
      <c r="AH4" s="536" t="s">
        <v>355</v>
      </c>
      <c r="AI4" s="536" t="s">
        <v>356</v>
      </c>
      <c r="AJ4" s="536" t="s">
        <v>357</v>
      </c>
    </row>
    <row r="5" spans="1:36">
      <c r="A5" s="258"/>
      <c r="B5" s="258"/>
      <c r="C5" s="258"/>
      <c r="D5" s="258"/>
      <c r="E5" s="258"/>
      <c r="F5" s="258"/>
      <c r="G5" s="258"/>
      <c r="H5" s="258"/>
      <c r="I5" s="258"/>
      <c r="J5" s="258"/>
      <c r="K5" s="258"/>
      <c r="L5" s="258"/>
      <c r="M5" s="258"/>
      <c r="N5" s="258"/>
      <c r="O5" s="258"/>
      <c r="P5" s="258"/>
      <c r="Q5" s="258"/>
      <c r="R5" s="258"/>
      <c r="S5" s="258"/>
      <c r="T5" s="258"/>
      <c r="U5" s="258"/>
      <c r="V5" s="258"/>
      <c r="W5" s="258"/>
      <c r="AC5" s="534" t="s">
        <v>358</v>
      </c>
      <c r="AD5" s="535">
        <v>0</v>
      </c>
      <c r="AE5" s="535">
        <v>0</v>
      </c>
      <c r="AF5" s="535">
        <v>0</v>
      </c>
      <c r="AG5" s="537">
        <f>D8</f>
        <v>625068</v>
      </c>
      <c r="AH5" s="537">
        <f>D7</f>
        <v>517370</v>
      </c>
      <c r="AI5" s="535">
        <v>0</v>
      </c>
      <c r="AJ5" s="535">
        <v>0</v>
      </c>
    </row>
    <row r="6" spans="1:36">
      <c r="A6" s="258"/>
      <c r="B6" s="258"/>
      <c r="C6" s="361"/>
      <c r="D6" s="362" t="s">
        <v>359</v>
      </c>
      <c r="E6" s="362" t="s">
        <v>360</v>
      </c>
      <c r="F6" s="362" t="s">
        <v>361</v>
      </c>
      <c r="G6" s="363"/>
      <c r="H6" s="258"/>
      <c r="I6" s="258"/>
      <c r="J6" s="258"/>
      <c r="K6" s="258"/>
      <c r="L6" s="258"/>
      <c r="M6" s="258"/>
      <c r="N6" s="258"/>
      <c r="O6" s="258"/>
      <c r="P6" s="258"/>
      <c r="Q6" s="258"/>
      <c r="R6" s="258"/>
      <c r="S6" s="258"/>
      <c r="T6" s="258"/>
      <c r="U6" s="258"/>
      <c r="V6" s="258"/>
      <c r="W6" s="258"/>
      <c r="AC6" s="534" t="s">
        <v>362</v>
      </c>
      <c r="AD6" s="535">
        <v>0</v>
      </c>
      <c r="AE6" s="535">
        <v>0</v>
      </c>
      <c r="AF6" s="535">
        <v>0</v>
      </c>
      <c r="AG6" s="535">
        <v>0</v>
      </c>
      <c r="AH6" s="535">
        <v>0</v>
      </c>
      <c r="AI6" s="537">
        <f>F7+F8</f>
        <v>111029</v>
      </c>
      <c r="AJ6" s="537">
        <f>ABS(D8-F9)</f>
        <v>406341</v>
      </c>
    </row>
    <row r="7" spans="1:36">
      <c r="A7" s="258"/>
      <c r="B7" s="258"/>
      <c r="C7" s="351" t="s">
        <v>363</v>
      </c>
      <c r="D7" s="352">
        <f>'BALANCE DE SITUACIÓN'!C3</f>
        <v>517370</v>
      </c>
      <c r="E7" s="352">
        <f>D7</f>
        <v>517370</v>
      </c>
      <c r="F7" s="352">
        <f>'BALANCE DE SITUACIÓN'!C84</f>
        <v>53265</v>
      </c>
      <c r="G7" s="353" t="s">
        <v>364</v>
      </c>
      <c r="H7" s="258"/>
      <c r="I7" s="258"/>
      <c r="J7" s="258"/>
      <c r="K7" s="258"/>
      <c r="L7" s="258"/>
      <c r="M7" s="258"/>
      <c r="N7" s="258"/>
      <c r="O7" s="258"/>
      <c r="P7" s="258"/>
      <c r="Q7" s="258"/>
      <c r="R7" s="258"/>
      <c r="S7" s="361"/>
      <c r="T7" s="362" t="s">
        <v>359</v>
      </c>
      <c r="U7" s="362" t="s">
        <v>360</v>
      </c>
      <c r="V7" s="362" t="s">
        <v>361</v>
      </c>
      <c r="W7" s="363"/>
      <c r="AC7" s="534" t="s">
        <v>365</v>
      </c>
      <c r="AD7" s="537">
        <f>F9</f>
        <v>1031409</v>
      </c>
      <c r="AE7" s="537">
        <f>F8</f>
        <v>57764</v>
      </c>
      <c r="AF7" s="537">
        <f>F7</f>
        <v>53265</v>
      </c>
      <c r="AG7" s="535">
        <v>0</v>
      </c>
      <c r="AH7" s="535">
        <v>0</v>
      </c>
      <c r="AI7" s="535">
        <v>0</v>
      </c>
      <c r="AJ7" s="535">
        <v>0</v>
      </c>
    </row>
    <row r="8" spans="1:36">
      <c r="A8" s="258"/>
      <c r="B8" s="258"/>
      <c r="C8" s="354" t="s">
        <v>366</v>
      </c>
      <c r="D8" s="355">
        <f>'BALANCE DE SITUACIÓN'!C36</f>
        <v>625068</v>
      </c>
      <c r="E8" s="355">
        <f>F7+F8-D7</f>
        <v>-406341</v>
      </c>
      <c r="F8" s="355">
        <f>'BALANCE DE SITUACIÓN'!C110</f>
        <v>57764</v>
      </c>
      <c r="G8" s="356" t="s">
        <v>367</v>
      </c>
      <c r="H8" s="258"/>
      <c r="I8" s="258"/>
      <c r="J8" s="258"/>
      <c r="K8" s="258"/>
      <c r="L8" s="258"/>
      <c r="M8" s="258"/>
      <c r="N8" s="258"/>
      <c r="O8" s="258"/>
      <c r="P8" s="258"/>
      <c r="Q8" s="258"/>
      <c r="R8" s="258"/>
      <c r="S8" s="351" t="s">
        <v>368</v>
      </c>
      <c r="T8" s="352">
        <f>'DATOS SECTOR'!D44*1000</f>
        <v>358671</v>
      </c>
      <c r="U8" s="352">
        <f>T8</f>
        <v>358671</v>
      </c>
      <c r="V8" s="352">
        <f>'DATOS SECTOR'!H44*1000</f>
        <v>240223</v>
      </c>
      <c r="W8" s="353" t="s">
        <v>364</v>
      </c>
      <c r="AC8" s="535"/>
      <c r="AD8" s="535"/>
      <c r="AE8" s="535"/>
      <c r="AF8" s="535"/>
      <c r="AG8" s="535"/>
      <c r="AH8" s="535"/>
      <c r="AI8" s="535"/>
      <c r="AJ8" s="535"/>
    </row>
    <row r="9" spans="1:36">
      <c r="A9" s="258"/>
      <c r="B9" s="258"/>
      <c r="C9" s="357"/>
      <c r="D9" s="358"/>
      <c r="E9" s="358"/>
      <c r="F9" s="358">
        <f>'BALANCE DE SITUACIÓN'!C127</f>
        <v>1031409</v>
      </c>
      <c r="G9" s="359" t="s">
        <v>369</v>
      </c>
      <c r="H9" s="258"/>
      <c r="I9" s="258"/>
      <c r="J9" s="258"/>
      <c r="K9" s="258"/>
      <c r="L9" s="258"/>
      <c r="M9" s="258"/>
      <c r="N9" s="258"/>
      <c r="O9" s="258"/>
      <c r="P9" s="258"/>
      <c r="Q9" s="258"/>
      <c r="R9" s="258"/>
      <c r="S9" s="354" t="s">
        <v>366</v>
      </c>
      <c r="T9" s="355">
        <f>'DATOS SECTOR'!F44*1000</f>
        <v>404873</v>
      </c>
      <c r="U9" s="355">
        <f>V8+V9-T8</f>
        <v>-18626</v>
      </c>
      <c r="V9" s="355">
        <f>'DATOS SECTOR'!J44*1000</f>
        <v>99822</v>
      </c>
      <c r="W9" s="356" t="s">
        <v>367</v>
      </c>
      <c r="AC9" s="535"/>
      <c r="AD9" s="535"/>
      <c r="AE9" s="535"/>
      <c r="AF9" s="535"/>
      <c r="AG9" s="535"/>
      <c r="AH9" s="535"/>
      <c r="AI9" s="535"/>
      <c r="AJ9" s="535"/>
    </row>
    <row r="10" spans="1:36">
      <c r="A10" s="258"/>
      <c r="B10" s="258"/>
      <c r="C10" s="258"/>
      <c r="D10" s="258"/>
      <c r="E10" s="258"/>
      <c r="F10" s="258"/>
      <c r="G10" s="258"/>
      <c r="H10" s="258"/>
      <c r="I10" s="258"/>
      <c r="J10" s="258"/>
      <c r="K10" s="258"/>
      <c r="L10" s="258"/>
      <c r="M10" s="258"/>
      <c r="N10" s="258"/>
      <c r="O10" s="258"/>
      <c r="P10" s="258"/>
      <c r="Q10" s="258"/>
      <c r="R10" s="258"/>
      <c r="S10" s="357"/>
      <c r="T10" s="358"/>
      <c r="U10" s="358"/>
      <c r="V10" s="358">
        <f>'DATOS SECTOR'!L44*1000</f>
        <v>423500</v>
      </c>
      <c r="W10" s="359" t="s">
        <v>369</v>
      </c>
      <c r="AC10" s="534" t="s">
        <v>370</v>
      </c>
      <c r="AD10" s="535"/>
      <c r="AE10" s="535"/>
      <c r="AF10" s="535"/>
      <c r="AG10" s="535"/>
      <c r="AH10" s="535"/>
      <c r="AI10" s="535"/>
      <c r="AJ10" s="535"/>
    </row>
    <row r="11" spans="1:36">
      <c r="A11" s="258"/>
      <c r="B11" s="258"/>
      <c r="C11" s="258"/>
      <c r="D11" s="258"/>
      <c r="E11" s="258"/>
      <c r="F11" s="258"/>
      <c r="G11" s="258"/>
      <c r="H11" s="258"/>
      <c r="I11" s="258"/>
      <c r="J11" s="258"/>
      <c r="K11" s="258"/>
      <c r="L11" s="258"/>
      <c r="M11" s="258"/>
      <c r="N11" s="258"/>
      <c r="O11" s="258"/>
      <c r="P11" s="258"/>
      <c r="Q11" s="258"/>
      <c r="R11" s="258"/>
      <c r="S11" s="258"/>
      <c r="T11" s="258"/>
      <c r="U11" s="258"/>
      <c r="V11" s="258"/>
      <c r="W11" s="258"/>
      <c r="AC11" s="535"/>
      <c r="AD11" s="536" t="s">
        <v>351</v>
      </c>
      <c r="AE11" s="536" t="s">
        <v>352</v>
      </c>
      <c r="AF11" s="536" t="s">
        <v>353</v>
      </c>
      <c r="AG11" s="536" t="s">
        <v>354</v>
      </c>
      <c r="AH11" s="536" t="s">
        <v>355</v>
      </c>
      <c r="AI11" s="536" t="s">
        <v>356</v>
      </c>
      <c r="AJ11" s="536" t="s">
        <v>357</v>
      </c>
    </row>
    <row r="12" spans="1:36">
      <c r="A12" s="258"/>
      <c r="B12" s="258"/>
      <c r="C12" s="258"/>
      <c r="D12" s="258"/>
      <c r="E12" s="258"/>
      <c r="F12" s="258"/>
      <c r="G12" s="258"/>
      <c r="H12" s="258"/>
      <c r="I12" s="258"/>
      <c r="J12" s="258"/>
      <c r="K12" s="258"/>
      <c r="L12" s="258"/>
      <c r="M12" s="258"/>
      <c r="N12" s="258"/>
      <c r="O12" s="258"/>
      <c r="P12" s="258"/>
      <c r="Q12" s="258"/>
      <c r="R12" s="258"/>
      <c r="S12" s="258"/>
      <c r="T12" s="258"/>
      <c r="U12" s="258"/>
      <c r="V12" s="258"/>
      <c r="W12" s="258"/>
      <c r="AC12" s="534" t="s">
        <v>358</v>
      </c>
      <c r="AD12" s="535">
        <v>0</v>
      </c>
      <c r="AE12" s="535">
        <v>0</v>
      </c>
      <c r="AF12" s="535">
        <v>0</v>
      </c>
      <c r="AG12" s="537">
        <f>D37</f>
        <v>738462</v>
      </c>
      <c r="AH12" s="537">
        <f>D36</f>
        <v>455451</v>
      </c>
      <c r="AI12" s="535">
        <v>0</v>
      </c>
      <c r="AJ12" s="535">
        <v>0</v>
      </c>
    </row>
    <row r="13" spans="1:36">
      <c r="A13" s="258"/>
      <c r="B13" s="258"/>
      <c r="C13" s="258"/>
      <c r="D13" s="258"/>
      <c r="E13" s="258"/>
      <c r="F13" s="258"/>
      <c r="G13" s="258"/>
      <c r="H13" s="258"/>
      <c r="I13" s="258"/>
      <c r="J13" s="258"/>
      <c r="K13" s="258"/>
      <c r="L13" s="258"/>
      <c r="M13" s="258"/>
      <c r="N13" s="258"/>
      <c r="O13" s="258"/>
      <c r="P13" s="258"/>
      <c r="Q13" s="258"/>
      <c r="R13" s="258"/>
      <c r="S13" s="258"/>
      <c r="T13" s="258"/>
      <c r="U13" s="258"/>
      <c r="V13" s="258"/>
      <c r="W13" s="258"/>
      <c r="AC13" s="534" t="s">
        <v>362</v>
      </c>
      <c r="AD13" s="535">
        <v>0</v>
      </c>
      <c r="AE13" s="535">
        <v>0</v>
      </c>
      <c r="AF13" s="535">
        <v>0</v>
      </c>
      <c r="AG13" s="535">
        <v>0</v>
      </c>
      <c r="AH13" s="535">
        <v>0</v>
      </c>
      <c r="AI13" s="537">
        <f>F36+F37</f>
        <v>300663</v>
      </c>
      <c r="AJ13" s="537">
        <f>ABS(D37-F38)</f>
        <v>154788</v>
      </c>
    </row>
    <row r="14" spans="1:36">
      <c r="A14" s="258"/>
      <c r="B14" s="258"/>
      <c r="C14" s="258"/>
      <c r="D14" s="258"/>
      <c r="E14" s="258"/>
      <c r="F14" s="258"/>
      <c r="G14" s="258"/>
      <c r="H14" s="258"/>
      <c r="I14" s="258"/>
      <c r="J14" s="258"/>
      <c r="K14" s="258"/>
      <c r="L14" s="258"/>
      <c r="M14" s="258"/>
      <c r="N14" s="258"/>
      <c r="O14" s="258"/>
      <c r="P14" s="258"/>
      <c r="Q14" s="258"/>
      <c r="R14" s="258"/>
      <c r="S14" s="258"/>
      <c r="T14" s="258"/>
      <c r="U14" s="258"/>
      <c r="V14" s="258"/>
      <c r="W14" s="258"/>
      <c r="AC14" s="534" t="s">
        <v>365</v>
      </c>
      <c r="AD14" s="537">
        <f>F38</f>
        <v>893250</v>
      </c>
      <c r="AE14" s="537">
        <f>F37</f>
        <v>57796</v>
      </c>
      <c r="AF14" s="537">
        <f>F36</f>
        <v>242867</v>
      </c>
      <c r="AG14" s="535">
        <v>0</v>
      </c>
      <c r="AH14" s="535">
        <v>0</v>
      </c>
      <c r="AI14" s="535">
        <v>0</v>
      </c>
      <c r="AJ14" s="535">
        <v>0</v>
      </c>
    </row>
    <row r="15" spans="1:36">
      <c r="A15" s="258"/>
      <c r="B15" s="258"/>
      <c r="C15" s="258"/>
      <c r="D15" s="258"/>
      <c r="E15" s="258"/>
      <c r="F15" s="258"/>
      <c r="G15" s="258"/>
      <c r="H15" s="258"/>
      <c r="I15" s="258"/>
      <c r="J15" s="258"/>
      <c r="K15" s="258"/>
      <c r="L15" s="258"/>
      <c r="M15" s="258"/>
      <c r="N15" s="258"/>
      <c r="O15" s="258"/>
      <c r="P15" s="258"/>
      <c r="Q15" s="258"/>
      <c r="R15" s="258"/>
      <c r="S15" s="258"/>
      <c r="T15" s="258"/>
      <c r="U15" s="258"/>
      <c r="V15" s="258"/>
      <c r="W15" s="258"/>
      <c r="AC15" s="535"/>
      <c r="AD15" s="535"/>
      <c r="AE15" s="535"/>
      <c r="AF15" s="535"/>
      <c r="AG15" s="535"/>
      <c r="AH15" s="535"/>
      <c r="AI15" s="535"/>
      <c r="AJ15" s="535"/>
    </row>
    <row r="16" spans="1:36">
      <c r="A16" s="258"/>
      <c r="B16" s="258"/>
      <c r="C16" s="258"/>
      <c r="D16" s="258"/>
      <c r="E16" s="258"/>
      <c r="F16" s="258"/>
      <c r="G16" s="258"/>
      <c r="H16" s="258"/>
      <c r="I16" s="258"/>
      <c r="J16" s="258"/>
      <c r="K16" s="258"/>
      <c r="L16" s="258"/>
      <c r="M16" s="258"/>
      <c r="N16" s="258"/>
      <c r="O16" s="258"/>
      <c r="P16" s="258"/>
      <c r="Q16" s="258"/>
      <c r="R16" s="258"/>
      <c r="S16" s="258"/>
      <c r="T16" s="258"/>
      <c r="U16" s="258"/>
      <c r="V16" s="258"/>
      <c r="W16" s="258"/>
      <c r="AC16" s="535"/>
      <c r="AD16" s="535"/>
      <c r="AE16" s="535"/>
      <c r="AF16" s="535"/>
      <c r="AG16" s="535"/>
      <c r="AH16" s="535"/>
      <c r="AI16" s="535"/>
      <c r="AJ16" s="535"/>
    </row>
    <row r="17" spans="1:36">
      <c r="A17" s="258"/>
      <c r="B17" s="258"/>
      <c r="C17" s="258"/>
      <c r="D17" s="258"/>
      <c r="E17" s="258"/>
      <c r="F17" s="258"/>
      <c r="G17" s="258"/>
      <c r="H17" s="258"/>
      <c r="I17" s="258"/>
      <c r="J17" s="258"/>
      <c r="K17" s="258"/>
      <c r="L17" s="258"/>
      <c r="M17" s="258"/>
      <c r="N17" s="258"/>
      <c r="O17" s="258"/>
      <c r="P17" s="258"/>
      <c r="Q17" s="258"/>
      <c r="R17" s="258"/>
      <c r="S17" s="258"/>
      <c r="T17" s="258"/>
      <c r="U17" s="258"/>
      <c r="V17" s="258"/>
      <c r="W17" s="258"/>
      <c r="AC17" s="534" t="s">
        <v>371</v>
      </c>
      <c r="AD17" s="535"/>
      <c r="AE17" s="535"/>
      <c r="AF17" s="535"/>
      <c r="AG17" s="535"/>
      <c r="AH17" s="535"/>
      <c r="AI17" s="535"/>
      <c r="AJ17" s="535"/>
    </row>
    <row r="18" spans="1:36">
      <c r="A18" s="258"/>
      <c r="B18" s="258"/>
      <c r="C18" s="258"/>
      <c r="D18" s="258"/>
      <c r="E18" s="258"/>
      <c r="F18" s="258"/>
      <c r="G18" s="258"/>
      <c r="H18" s="258"/>
      <c r="I18" s="258"/>
      <c r="J18" s="258"/>
      <c r="K18" s="258"/>
      <c r="L18" s="258"/>
      <c r="M18" s="258"/>
      <c r="N18" s="258"/>
      <c r="O18" s="258"/>
      <c r="P18" s="258"/>
      <c r="Q18" s="258"/>
      <c r="R18" s="258"/>
      <c r="S18" s="258"/>
      <c r="T18" s="258"/>
      <c r="U18" s="258"/>
      <c r="V18" s="258"/>
      <c r="W18" s="258"/>
      <c r="AC18" s="535"/>
      <c r="AD18" s="536" t="s">
        <v>351</v>
      </c>
      <c r="AE18" s="536" t="s">
        <v>352</v>
      </c>
      <c r="AF18" s="536" t="s">
        <v>353</v>
      </c>
      <c r="AG18" s="536" t="s">
        <v>354</v>
      </c>
      <c r="AH18" s="536" t="s">
        <v>355</v>
      </c>
      <c r="AI18" s="536" t="s">
        <v>356</v>
      </c>
      <c r="AJ18" s="536" t="s">
        <v>357</v>
      </c>
    </row>
    <row r="19" spans="1:36">
      <c r="A19" s="258"/>
      <c r="B19" s="258"/>
      <c r="C19" s="258"/>
      <c r="D19" s="258"/>
      <c r="E19" s="258"/>
      <c r="F19" s="258"/>
      <c r="G19" s="258"/>
      <c r="H19" s="258"/>
      <c r="I19" s="258"/>
      <c r="J19" s="258"/>
      <c r="K19" s="258"/>
      <c r="L19" s="258"/>
      <c r="M19" s="258"/>
      <c r="N19" s="258"/>
      <c r="O19" s="258"/>
      <c r="P19" s="258"/>
      <c r="Q19" s="258"/>
      <c r="R19" s="258"/>
      <c r="S19" s="258"/>
      <c r="T19" s="258"/>
      <c r="U19" s="258"/>
      <c r="V19" s="258"/>
      <c r="W19" s="258"/>
      <c r="AC19" s="534" t="s">
        <v>358</v>
      </c>
      <c r="AD19" s="535">
        <v>0</v>
      </c>
      <c r="AE19" s="535">
        <v>0</v>
      </c>
      <c r="AF19" s="535">
        <v>0</v>
      </c>
      <c r="AG19" s="537">
        <f>T9</f>
        <v>404873</v>
      </c>
      <c r="AH19" s="537">
        <f>T8</f>
        <v>358671</v>
      </c>
      <c r="AI19" s="535">
        <v>0</v>
      </c>
      <c r="AJ19" s="535">
        <v>0</v>
      </c>
    </row>
    <row r="20" spans="1:36">
      <c r="A20" s="258"/>
      <c r="B20" s="258"/>
      <c r="C20" s="258"/>
      <c r="D20" s="258"/>
      <c r="E20" s="258"/>
      <c r="F20" s="258"/>
      <c r="G20" s="258"/>
      <c r="H20" s="258"/>
      <c r="I20" s="258"/>
      <c r="J20" s="258"/>
      <c r="K20" s="258"/>
      <c r="L20" s="258"/>
      <c r="M20" s="258"/>
      <c r="N20" s="258"/>
      <c r="O20" s="258"/>
      <c r="P20" s="258"/>
      <c r="Q20" s="258"/>
      <c r="R20" s="258"/>
      <c r="S20" s="258"/>
      <c r="T20" s="258"/>
      <c r="U20" s="258"/>
      <c r="V20" s="258"/>
      <c r="W20" s="258"/>
      <c r="AC20" s="534" t="s">
        <v>362</v>
      </c>
      <c r="AD20" s="535">
        <v>0</v>
      </c>
      <c r="AE20" s="535">
        <v>0</v>
      </c>
      <c r="AF20" s="535">
        <v>0</v>
      </c>
      <c r="AG20" s="535">
        <v>0</v>
      </c>
      <c r="AH20" s="535">
        <v>0</v>
      </c>
      <c r="AI20" s="537">
        <f>V8+V9</f>
        <v>340045</v>
      </c>
      <c r="AJ20" s="537">
        <f>ABS(T9-V10)</f>
        <v>18627</v>
      </c>
    </row>
    <row r="21" spans="1:36">
      <c r="A21" s="258"/>
      <c r="B21" s="258"/>
      <c r="C21" s="258"/>
      <c r="D21" s="258"/>
      <c r="E21" s="258"/>
      <c r="F21" s="258"/>
      <c r="G21" s="258"/>
      <c r="H21" s="258"/>
      <c r="I21" s="258"/>
      <c r="J21" s="258"/>
      <c r="K21" s="258"/>
      <c r="L21" s="258"/>
      <c r="M21" s="258"/>
      <c r="N21" s="258"/>
      <c r="O21" s="258"/>
      <c r="P21" s="258"/>
      <c r="Q21" s="258"/>
      <c r="R21" s="258"/>
      <c r="S21" s="258"/>
      <c r="T21" s="258"/>
      <c r="U21" s="258"/>
      <c r="V21" s="258"/>
      <c r="W21" s="258"/>
      <c r="AC21" s="534" t="s">
        <v>365</v>
      </c>
      <c r="AD21" s="537">
        <f>V10</f>
        <v>423500</v>
      </c>
      <c r="AE21" s="537">
        <f>V9</f>
        <v>99822</v>
      </c>
      <c r="AF21" s="537">
        <f>V8</f>
        <v>240223</v>
      </c>
      <c r="AG21" s="535">
        <v>0</v>
      </c>
      <c r="AH21" s="535">
        <v>0</v>
      </c>
      <c r="AI21" s="535">
        <v>0</v>
      </c>
      <c r="AJ21" s="535">
        <v>0</v>
      </c>
    </row>
    <row r="22" spans="1:36">
      <c r="A22" s="258"/>
      <c r="B22" s="258"/>
      <c r="C22" s="258"/>
      <c r="D22" s="258"/>
      <c r="E22" s="258"/>
      <c r="F22" s="258"/>
      <c r="G22" s="258"/>
      <c r="H22" s="258"/>
      <c r="I22" s="258"/>
      <c r="J22" s="258"/>
      <c r="K22" s="258"/>
      <c r="L22" s="258"/>
      <c r="M22" s="258"/>
      <c r="N22" s="258"/>
      <c r="O22" s="258"/>
      <c r="P22" s="258"/>
      <c r="Q22" s="258"/>
      <c r="R22" s="258"/>
      <c r="S22" s="258"/>
      <c r="T22" s="258"/>
      <c r="U22" s="258"/>
      <c r="V22" s="258"/>
      <c r="W22" s="258"/>
      <c r="AC22" s="535"/>
      <c r="AD22" s="535"/>
      <c r="AE22" s="535"/>
      <c r="AF22" s="535"/>
      <c r="AG22" s="535"/>
      <c r="AH22" s="535"/>
      <c r="AI22" s="535"/>
      <c r="AJ22" s="535"/>
    </row>
    <row r="23" spans="1:36">
      <c r="A23" s="258"/>
      <c r="B23" s="258"/>
      <c r="C23" s="258"/>
      <c r="D23" s="258"/>
      <c r="E23" s="258"/>
      <c r="F23" s="258"/>
      <c r="G23" s="258"/>
      <c r="H23" s="258"/>
      <c r="I23" s="258"/>
      <c r="J23" s="258"/>
      <c r="K23" s="258"/>
      <c r="L23" s="258"/>
      <c r="M23" s="258"/>
      <c r="N23" s="258"/>
      <c r="O23" s="258"/>
      <c r="P23" s="258"/>
      <c r="Q23" s="258"/>
      <c r="R23" s="258"/>
      <c r="S23" s="258"/>
      <c r="T23" s="258"/>
      <c r="U23" s="258"/>
      <c r="V23" s="258"/>
      <c r="W23" s="258"/>
      <c r="AC23" s="535"/>
      <c r="AD23" s="535"/>
      <c r="AE23" s="535"/>
      <c r="AF23" s="535"/>
      <c r="AG23" s="535"/>
      <c r="AH23" s="535"/>
      <c r="AI23" s="535"/>
      <c r="AJ23" s="535"/>
    </row>
    <row r="24" spans="1:36">
      <c r="A24" s="258"/>
      <c r="B24" s="258"/>
      <c r="C24" s="258"/>
      <c r="D24" s="258"/>
      <c r="E24" s="258"/>
      <c r="F24" s="258"/>
      <c r="G24" s="258"/>
      <c r="H24" s="258"/>
      <c r="I24" s="258"/>
      <c r="J24" s="258"/>
      <c r="K24" s="258"/>
      <c r="L24" s="258"/>
      <c r="M24" s="258"/>
      <c r="N24" s="258"/>
      <c r="O24" s="258"/>
      <c r="P24" s="258"/>
      <c r="Q24" s="258"/>
      <c r="R24" s="258"/>
      <c r="S24" s="258"/>
      <c r="T24" s="258"/>
      <c r="U24" s="258"/>
      <c r="V24" s="258"/>
      <c r="W24" s="258"/>
      <c r="AC24" s="534" t="s">
        <v>372</v>
      </c>
      <c r="AD24" s="535"/>
      <c r="AE24" s="535"/>
      <c r="AF24" s="535"/>
      <c r="AG24" s="535"/>
      <c r="AH24" s="535"/>
      <c r="AI24" s="535"/>
      <c r="AJ24" s="535"/>
    </row>
    <row r="25" spans="1:36">
      <c r="A25" s="258"/>
      <c r="B25" s="258"/>
      <c r="C25" s="258"/>
      <c r="D25" s="258"/>
      <c r="E25" s="258"/>
      <c r="F25" s="258"/>
      <c r="G25" s="258"/>
      <c r="H25" s="258"/>
      <c r="I25" s="258"/>
      <c r="J25" s="258"/>
      <c r="K25" s="258"/>
      <c r="L25" s="258"/>
      <c r="M25" s="258"/>
      <c r="N25" s="258"/>
      <c r="O25" s="258"/>
      <c r="P25" s="258"/>
      <c r="Q25" s="258"/>
      <c r="R25" s="258"/>
      <c r="S25" s="258"/>
      <c r="T25" s="258"/>
      <c r="U25" s="258"/>
      <c r="V25" s="258"/>
      <c r="W25" s="258"/>
      <c r="AC25" s="535"/>
      <c r="AD25" s="536" t="s">
        <v>351</v>
      </c>
      <c r="AE25" s="536" t="s">
        <v>352</v>
      </c>
      <c r="AF25" s="536" t="s">
        <v>353</v>
      </c>
      <c r="AG25" s="536" t="s">
        <v>354</v>
      </c>
      <c r="AH25" s="536" t="s">
        <v>355</v>
      </c>
      <c r="AI25" s="536" t="s">
        <v>356</v>
      </c>
      <c r="AJ25" s="536" t="s">
        <v>357</v>
      </c>
    </row>
    <row r="26" spans="1:36">
      <c r="A26" s="258"/>
      <c r="B26" s="258"/>
      <c r="C26" s="258"/>
      <c r="D26" s="258"/>
      <c r="E26" s="258"/>
      <c r="F26" s="258"/>
      <c r="G26" s="258"/>
      <c r="H26" s="258"/>
      <c r="I26" s="258"/>
      <c r="J26" s="258"/>
      <c r="K26" s="258"/>
      <c r="L26" s="258"/>
      <c r="M26" s="258"/>
      <c r="N26" s="258"/>
      <c r="O26" s="258"/>
      <c r="P26" s="258"/>
      <c r="Q26" s="258"/>
      <c r="R26" s="258"/>
      <c r="S26" s="258"/>
      <c r="T26" s="258"/>
      <c r="U26" s="258"/>
      <c r="V26" s="258"/>
      <c r="W26" s="258"/>
      <c r="AC26" s="534" t="s">
        <v>358</v>
      </c>
      <c r="AD26" s="535">
        <v>0</v>
      </c>
      <c r="AE26" s="535">
        <v>0</v>
      </c>
      <c r="AF26" s="535">
        <v>0</v>
      </c>
      <c r="AG26" s="537">
        <f>T39</f>
        <v>359897</v>
      </c>
      <c r="AH26" s="537">
        <f>T38</f>
        <v>399459</v>
      </c>
      <c r="AI26" s="535">
        <v>0</v>
      </c>
      <c r="AJ26" s="535">
        <v>0</v>
      </c>
    </row>
    <row r="27" spans="1:36">
      <c r="A27" s="258"/>
      <c r="B27" s="258"/>
      <c r="C27" s="258"/>
      <c r="D27" s="258"/>
      <c r="E27" s="258"/>
      <c r="F27" s="258"/>
      <c r="G27" s="258"/>
      <c r="H27" s="258"/>
      <c r="I27" s="258"/>
      <c r="J27" s="258"/>
      <c r="K27" s="258"/>
      <c r="L27" s="258"/>
      <c r="M27" s="258"/>
      <c r="N27" s="258"/>
      <c r="O27" s="258"/>
      <c r="P27" s="258"/>
      <c r="Q27" s="258"/>
      <c r="R27" s="258"/>
      <c r="S27" s="258"/>
      <c r="T27" s="258"/>
      <c r="U27" s="258"/>
      <c r="V27" s="258"/>
      <c r="W27" s="258"/>
      <c r="AC27" s="534" t="s">
        <v>362</v>
      </c>
      <c r="AD27" s="535">
        <v>0</v>
      </c>
      <c r="AE27" s="535">
        <v>0</v>
      </c>
      <c r="AF27" s="535">
        <v>0</v>
      </c>
      <c r="AG27" s="535">
        <v>0</v>
      </c>
      <c r="AH27" s="535">
        <v>0</v>
      </c>
      <c r="AI27" s="537">
        <f>V38+V39</f>
        <v>323142</v>
      </c>
      <c r="AJ27" s="537">
        <f>ABS(T39-V40)</f>
        <v>76318</v>
      </c>
    </row>
    <row r="28" spans="1:36">
      <c r="A28" s="258"/>
      <c r="B28" s="258"/>
      <c r="C28" s="258"/>
      <c r="D28" s="258"/>
      <c r="E28" s="258"/>
      <c r="F28" s="258"/>
      <c r="G28" s="258"/>
      <c r="H28" s="258"/>
      <c r="I28" s="258"/>
      <c r="J28" s="258"/>
      <c r="K28" s="258"/>
      <c r="L28" s="258"/>
      <c r="M28" s="258"/>
      <c r="N28" s="258"/>
      <c r="O28" s="258"/>
      <c r="P28" s="258"/>
      <c r="Q28" s="258"/>
      <c r="R28" s="258"/>
      <c r="S28" s="258"/>
      <c r="T28" s="258"/>
      <c r="U28" s="258"/>
      <c r="V28" s="258"/>
      <c r="W28" s="258"/>
      <c r="AC28" s="534" t="s">
        <v>365</v>
      </c>
      <c r="AD28" s="537">
        <f>V40</f>
        <v>436215</v>
      </c>
      <c r="AE28" s="537">
        <f>V39</f>
        <v>88310</v>
      </c>
      <c r="AF28" s="537">
        <f>V38</f>
        <v>234832</v>
      </c>
      <c r="AG28" s="535">
        <v>0</v>
      </c>
      <c r="AH28" s="535">
        <v>0</v>
      </c>
      <c r="AI28" s="535">
        <v>0</v>
      </c>
      <c r="AJ28" s="535">
        <v>0</v>
      </c>
    </row>
    <row r="29" spans="1:36">
      <c r="A29" s="258"/>
      <c r="B29" s="258"/>
      <c r="C29" s="258"/>
      <c r="D29" s="258"/>
      <c r="E29" s="258"/>
      <c r="F29" s="258"/>
      <c r="G29" s="258"/>
      <c r="H29" s="258"/>
      <c r="I29" s="258"/>
      <c r="J29" s="258"/>
      <c r="K29" s="258"/>
      <c r="L29" s="258"/>
      <c r="M29" s="258"/>
      <c r="N29" s="258"/>
      <c r="O29" s="258"/>
      <c r="P29" s="258"/>
      <c r="Q29" s="258"/>
      <c r="R29" s="258"/>
      <c r="S29" s="258"/>
      <c r="T29" s="258"/>
      <c r="U29" s="258"/>
      <c r="V29" s="258"/>
      <c r="W29" s="258"/>
    </row>
    <row r="30" spans="1:36">
      <c r="A30" s="258"/>
      <c r="B30" s="258"/>
      <c r="C30" s="258"/>
      <c r="D30" s="258"/>
      <c r="E30" s="258"/>
      <c r="F30" s="258"/>
      <c r="G30" s="258"/>
      <c r="H30" s="258"/>
      <c r="I30" s="258"/>
      <c r="J30" s="258"/>
      <c r="K30" s="258"/>
      <c r="L30" s="258"/>
      <c r="M30" s="258"/>
      <c r="N30" s="258"/>
      <c r="O30" s="258"/>
      <c r="P30" s="258"/>
      <c r="Q30" s="258"/>
      <c r="R30" s="258"/>
      <c r="S30" s="258"/>
      <c r="T30" s="258"/>
      <c r="U30" s="258"/>
      <c r="V30" s="258"/>
      <c r="W30" s="258"/>
    </row>
    <row r="31" spans="1:36">
      <c r="A31" s="258"/>
      <c r="B31" s="258"/>
      <c r="C31" s="258"/>
      <c r="D31" s="258"/>
      <c r="E31" s="258"/>
      <c r="F31" s="258"/>
      <c r="G31" s="258"/>
      <c r="H31" s="258"/>
      <c r="I31" s="258"/>
      <c r="J31" s="258"/>
      <c r="K31" s="258"/>
      <c r="L31" s="258"/>
      <c r="M31" s="258"/>
      <c r="N31" s="258"/>
      <c r="O31" s="258"/>
      <c r="P31" s="258"/>
      <c r="Q31" s="258"/>
      <c r="R31" s="258"/>
      <c r="S31" s="258"/>
      <c r="T31" s="258"/>
      <c r="U31" s="258"/>
      <c r="V31" s="258"/>
      <c r="W31" s="258"/>
    </row>
    <row r="32" spans="1:36">
      <c r="A32" s="258"/>
      <c r="B32" s="258"/>
      <c r="C32" s="258"/>
      <c r="D32" s="258"/>
      <c r="E32" s="258"/>
      <c r="F32" s="258"/>
      <c r="G32" s="258"/>
      <c r="H32" s="258"/>
      <c r="I32" s="258"/>
      <c r="J32" s="258"/>
      <c r="K32" s="258"/>
      <c r="L32" s="258"/>
      <c r="M32" s="258"/>
      <c r="N32" s="258"/>
      <c r="O32" s="258"/>
      <c r="P32" s="258"/>
      <c r="Q32" s="258"/>
      <c r="R32" s="258"/>
      <c r="S32" s="258"/>
      <c r="T32" s="258"/>
      <c r="U32" s="258"/>
      <c r="V32" s="258"/>
      <c r="W32" s="258"/>
    </row>
    <row r="33" spans="1:23">
      <c r="A33" s="258"/>
      <c r="B33" s="258"/>
      <c r="C33" s="505" t="s">
        <v>373</v>
      </c>
      <c r="D33" s="551"/>
      <c r="E33" s="551"/>
      <c r="F33" s="551"/>
      <c r="G33" s="552"/>
      <c r="H33" s="258"/>
      <c r="I33" s="258"/>
      <c r="J33" s="258"/>
      <c r="K33" s="258"/>
      <c r="L33" s="258"/>
      <c r="M33" s="258"/>
      <c r="N33" s="258"/>
      <c r="O33" s="258"/>
      <c r="P33" s="258"/>
      <c r="Q33" s="258"/>
      <c r="R33" s="258"/>
      <c r="S33" s="505" t="s">
        <v>374</v>
      </c>
      <c r="T33" s="551"/>
      <c r="U33" s="551"/>
      <c r="V33" s="551"/>
      <c r="W33" s="552"/>
    </row>
    <row r="34" spans="1:23">
      <c r="A34" s="258"/>
      <c r="B34" s="258"/>
      <c r="C34" s="258"/>
      <c r="D34" s="258"/>
      <c r="E34" s="258"/>
      <c r="F34" s="258"/>
      <c r="G34" s="258"/>
      <c r="H34" s="258"/>
      <c r="I34" s="258"/>
      <c r="J34" s="258"/>
      <c r="K34" s="258"/>
      <c r="L34" s="258"/>
      <c r="M34" s="258"/>
      <c r="N34" s="258"/>
      <c r="O34" s="258"/>
      <c r="P34" s="258"/>
      <c r="Q34" s="258"/>
      <c r="R34" s="258"/>
      <c r="S34" s="258"/>
      <c r="T34" s="258"/>
      <c r="U34" s="258"/>
      <c r="V34" s="258"/>
      <c r="W34" s="258"/>
    </row>
    <row r="35" spans="1:23">
      <c r="A35" s="258"/>
      <c r="B35" s="258"/>
      <c r="C35" s="361"/>
      <c r="D35" s="362" t="s">
        <v>359</v>
      </c>
      <c r="E35" s="362" t="s">
        <v>360</v>
      </c>
      <c r="F35" s="362" t="s">
        <v>361</v>
      </c>
      <c r="G35" s="363"/>
      <c r="H35" s="258"/>
      <c r="I35" s="258"/>
      <c r="J35" s="258"/>
      <c r="K35" s="258"/>
      <c r="L35" s="258"/>
      <c r="M35" s="258"/>
      <c r="N35" s="258"/>
      <c r="O35" s="258"/>
      <c r="P35" s="258"/>
      <c r="Q35" s="258"/>
      <c r="R35" s="258"/>
      <c r="S35" s="258"/>
      <c r="T35" s="258"/>
      <c r="U35" s="258"/>
      <c r="V35" s="258"/>
      <c r="W35" s="258"/>
    </row>
    <row r="36" spans="1:23">
      <c r="A36" s="258"/>
      <c r="B36" s="258"/>
      <c r="C36" s="351" t="s">
        <v>363</v>
      </c>
      <c r="D36" s="352">
        <f>'BALANCE DE SITUACIÓN'!D3</f>
        <v>455451</v>
      </c>
      <c r="E36" s="352">
        <f>D36</f>
        <v>455451</v>
      </c>
      <c r="F36" s="352">
        <f>'BALANCE DE SITUACIÓN'!D84</f>
        <v>242867</v>
      </c>
      <c r="G36" s="353" t="s">
        <v>364</v>
      </c>
      <c r="H36" s="258"/>
      <c r="I36" s="258"/>
      <c r="J36" s="258"/>
      <c r="K36" s="258"/>
      <c r="L36" s="258"/>
      <c r="M36" s="258"/>
      <c r="N36" s="258"/>
      <c r="O36" s="258"/>
      <c r="P36" s="258"/>
      <c r="Q36" s="258"/>
      <c r="R36" s="258"/>
      <c r="S36" s="258"/>
      <c r="T36" s="258"/>
      <c r="U36" s="258"/>
      <c r="V36" s="258"/>
      <c r="W36" s="258"/>
    </row>
    <row r="37" spans="1:23">
      <c r="A37" s="258"/>
      <c r="B37" s="258"/>
      <c r="C37" s="354" t="s">
        <v>366</v>
      </c>
      <c r="D37" s="355">
        <f>'BALANCE DE SITUACIÓN'!D36</f>
        <v>738462</v>
      </c>
      <c r="E37" s="355">
        <f>F36+F37-D36</f>
        <v>-154788</v>
      </c>
      <c r="F37" s="486">
        <f>'BALANCE DE SITUACIÓN'!D110</f>
        <v>57796</v>
      </c>
      <c r="G37" s="356" t="s">
        <v>367</v>
      </c>
      <c r="H37" s="258"/>
      <c r="I37" s="258"/>
      <c r="J37" s="258"/>
      <c r="K37" s="258"/>
      <c r="L37" s="258"/>
      <c r="M37" s="258"/>
      <c r="N37" s="258"/>
      <c r="O37" s="258"/>
      <c r="P37" s="258"/>
      <c r="Q37" s="258"/>
      <c r="R37" s="258"/>
      <c r="S37" s="361"/>
      <c r="T37" s="362" t="s">
        <v>359</v>
      </c>
      <c r="U37" s="362" t="s">
        <v>360</v>
      </c>
      <c r="V37" s="362" t="s">
        <v>361</v>
      </c>
      <c r="W37" s="363"/>
    </row>
    <row r="38" spans="1:23">
      <c r="A38" s="258"/>
      <c r="B38" s="258"/>
      <c r="C38" s="357"/>
      <c r="D38" s="358"/>
      <c r="E38" s="358"/>
      <c r="F38" s="358">
        <f>'BALANCE DE SITUACIÓN'!D127</f>
        <v>893250</v>
      </c>
      <c r="G38" s="359" t="s">
        <v>369</v>
      </c>
      <c r="H38" s="258"/>
      <c r="I38" s="258"/>
      <c r="J38" s="258"/>
      <c r="K38" s="258"/>
      <c r="L38" s="258"/>
      <c r="M38" s="258"/>
      <c r="N38" s="258"/>
      <c r="O38" s="258"/>
      <c r="P38" s="258"/>
      <c r="Q38" s="258"/>
      <c r="R38" s="258"/>
      <c r="S38" s="351" t="s">
        <v>368</v>
      </c>
      <c r="T38" s="352">
        <f>'DATOS SECTOR'!D35*1000</f>
        <v>399459</v>
      </c>
      <c r="U38" s="352">
        <f>T38</f>
        <v>399459</v>
      </c>
      <c r="V38" s="352">
        <f>'DATOS SECTOR'!H35*1000</f>
        <v>234832</v>
      </c>
      <c r="W38" s="353" t="s">
        <v>364</v>
      </c>
    </row>
    <row r="39" spans="1:23">
      <c r="A39" s="258"/>
      <c r="B39" s="258"/>
      <c r="C39" s="258"/>
      <c r="D39" s="258"/>
      <c r="E39" s="258"/>
      <c r="F39" s="258"/>
      <c r="G39" s="258"/>
      <c r="H39" s="258"/>
      <c r="I39" s="258"/>
      <c r="J39" s="258"/>
      <c r="K39" s="258"/>
      <c r="L39" s="258"/>
      <c r="M39" s="258"/>
      <c r="N39" s="258"/>
      <c r="O39" s="258"/>
      <c r="P39" s="258"/>
      <c r="Q39" s="258"/>
      <c r="R39" s="258"/>
      <c r="S39" s="354" t="s">
        <v>366</v>
      </c>
      <c r="T39" s="355">
        <f>'DATOS SECTOR'!F35*1000</f>
        <v>359897</v>
      </c>
      <c r="U39" s="355">
        <f>V38+V39-T38</f>
        <v>-76317</v>
      </c>
      <c r="V39" s="355">
        <f>'DATOS SECTOR'!J35*1000</f>
        <v>88310</v>
      </c>
      <c r="W39" s="356" t="s">
        <v>367</v>
      </c>
    </row>
    <row r="40" spans="1:23">
      <c r="A40" s="258"/>
      <c r="B40" s="258"/>
      <c r="C40" s="258"/>
      <c r="D40" s="258"/>
      <c r="E40" s="258"/>
      <c r="F40" s="258"/>
      <c r="G40" s="258"/>
      <c r="H40" s="258"/>
      <c r="I40" s="258"/>
      <c r="J40" s="258"/>
      <c r="K40" s="258"/>
      <c r="L40" s="258"/>
      <c r="M40" s="258"/>
      <c r="N40" s="258"/>
      <c r="O40" s="258"/>
      <c r="P40" s="258"/>
      <c r="Q40" s="258"/>
      <c r="R40" s="258"/>
      <c r="S40" s="357"/>
      <c r="T40" s="358"/>
      <c r="U40" s="358"/>
      <c r="V40" s="358">
        <f>'DATOS SECTOR'!L35*1000</f>
        <v>436215</v>
      </c>
      <c r="W40" s="359" t="s">
        <v>369</v>
      </c>
    </row>
  </sheetData>
  <mergeCells count="5">
    <mergeCell ref="A1:W1"/>
    <mergeCell ref="C3:G3"/>
    <mergeCell ref="S3:W3"/>
    <mergeCell ref="C33:G33"/>
    <mergeCell ref="S33:W3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3881F-87E4-45E2-9B22-BFA5F7CAB65D}">
  <sheetPr>
    <tabColor rgb="FF1B2A4A"/>
  </sheetPr>
  <dimension ref="A1:M46"/>
  <sheetViews>
    <sheetView topLeftCell="A8" workbookViewId="0">
      <selection activeCell="H12" sqref="H12"/>
    </sheetView>
  </sheetViews>
  <sheetFormatPr defaultColWidth="8.85546875" defaultRowHeight="15"/>
  <cols>
    <col min="1" max="1" width="38.140625" customWidth="1"/>
    <col min="2" max="3" width="22.85546875" customWidth="1"/>
    <col min="4" max="5" width="21" customWidth="1"/>
    <col min="6" max="6" width="13.28515625" customWidth="1"/>
  </cols>
  <sheetData>
    <row r="1" spans="1:13" ht="30" customHeight="1">
      <c r="A1" s="512" t="s">
        <v>375</v>
      </c>
      <c r="B1" s="513"/>
      <c r="C1" s="513"/>
      <c r="D1" s="513"/>
      <c r="E1" s="513"/>
      <c r="F1" s="514"/>
    </row>
    <row r="2" spans="1:13" ht="8.25" customHeight="1"/>
    <row r="3" spans="1:13" ht="21.75" customHeight="1">
      <c r="A3" s="515" t="s">
        <v>376</v>
      </c>
      <c r="B3" s="516"/>
      <c r="C3" s="516"/>
      <c r="D3" s="516"/>
      <c r="E3" s="516"/>
      <c r="F3" s="517"/>
      <c r="H3" s="138" t="s">
        <v>377</v>
      </c>
      <c r="I3" s="138" t="s">
        <v>378</v>
      </c>
      <c r="J3" s="138" t="s">
        <v>379</v>
      </c>
      <c r="K3" s="138" t="s">
        <v>380</v>
      </c>
      <c r="L3" s="138" t="s">
        <v>381</v>
      </c>
      <c r="M3" s="138" t="s">
        <v>382</v>
      </c>
    </row>
    <row r="4" spans="1:13" ht="20.25" customHeight="1">
      <c r="A4" s="87" t="s">
        <v>383</v>
      </c>
      <c r="B4" s="86" t="s">
        <v>384</v>
      </c>
      <c r="C4" s="86" t="s">
        <v>385</v>
      </c>
      <c r="D4" s="86" t="s">
        <v>386</v>
      </c>
      <c r="E4" s="86" t="s">
        <v>387</v>
      </c>
      <c r="F4" s="91" t="s">
        <v>388</v>
      </c>
      <c r="H4" s="138" t="s">
        <v>389</v>
      </c>
      <c r="I4" s="139">
        <f>B5</f>
        <v>455451</v>
      </c>
      <c r="J4" s="139">
        <f>B6</f>
        <v>738462</v>
      </c>
      <c r="K4" s="138">
        <v>0</v>
      </c>
      <c r="L4" s="138">
        <v>0</v>
      </c>
      <c r="M4" s="138">
        <v>0</v>
      </c>
    </row>
    <row r="5" spans="1:13" ht="18" customHeight="1">
      <c r="A5" s="92" t="s">
        <v>390</v>
      </c>
      <c r="B5" s="88">
        <f>'BALANCE DE SITUACIÓN'!D3</f>
        <v>455451</v>
      </c>
      <c r="C5" s="88">
        <f>'BALANCE DE SITUACIÓN'!C3</f>
        <v>517370</v>
      </c>
      <c r="D5" s="89">
        <f t="shared" ref="D5:D11" si="0">C5-B5</f>
        <v>61919</v>
      </c>
      <c r="E5" s="90">
        <f t="shared" ref="E5:E11" si="1">IF(B5=0,"-",D5/B5)</f>
        <v>0.13595095850047537</v>
      </c>
      <c r="F5" s="96" t="str">
        <f>IF(D5&gt;0,"Sube",IF(D5&lt;0,"Baja","Igual"))</f>
        <v>Sube</v>
      </c>
      <c r="H5" s="138" t="s">
        <v>391</v>
      </c>
      <c r="I5" s="138">
        <v>0</v>
      </c>
      <c r="J5" s="138">
        <v>0</v>
      </c>
      <c r="K5" s="139">
        <f>B8</f>
        <v>242867</v>
      </c>
      <c r="L5" s="139">
        <f>B9</f>
        <v>57796</v>
      </c>
      <c r="M5" s="139">
        <f>B10</f>
        <v>893250</v>
      </c>
    </row>
    <row r="6" spans="1:13" ht="18" customHeight="1">
      <c r="A6" s="97" t="s">
        <v>392</v>
      </c>
      <c r="B6" s="93">
        <f>'BALANCE DE SITUACIÓN'!D36</f>
        <v>738462</v>
      </c>
      <c r="C6" s="93">
        <f>'BALANCE DE SITUACIÓN'!C36</f>
        <v>625068</v>
      </c>
      <c r="D6" s="94">
        <f t="shared" si="0"/>
        <v>-113394</v>
      </c>
      <c r="E6" s="95">
        <f t="shared" si="1"/>
        <v>-0.1535542790285756</v>
      </c>
      <c r="F6" s="96" t="str">
        <f>IF(D6&gt;0,"Sube",IF(D6&lt;0,"Baja","Igual"))</f>
        <v>Baja</v>
      </c>
      <c r="H6" s="138" t="s">
        <v>393</v>
      </c>
      <c r="I6" s="139">
        <f>C5</f>
        <v>517370</v>
      </c>
      <c r="J6" s="139">
        <f>C6</f>
        <v>625068</v>
      </c>
      <c r="K6" s="138">
        <v>0</v>
      </c>
      <c r="L6" s="138">
        <v>0</v>
      </c>
      <c r="M6" s="138">
        <v>0</v>
      </c>
    </row>
    <row r="7" spans="1:13" ht="20.25" customHeight="1">
      <c r="A7" s="105" t="s">
        <v>394</v>
      </c>
      <c r="B7" s="100">
        <f>B5+B6</f>
        <v>1193913</v>
      </c>
      <c r="C7" s="100">
        <f>C5+C6</f>
        <v>1142438</v>
      </c>
      <c r="D7" s="100">
        <f t="shared" si="0"/>
        <v>-51475</v>
      </c>
      <c r="E7" s="102">
        <f t="shared" si="1"/>
        <v>-4.3114531795867876E-2</v>
      </c>
      <c r="F7" s="106"/>
      <c r="H7" s="138" t="s">
        <v>395</v>
      </c>
      <c r="I7" s="138">
        <v>0</v>
      </c>
      <c r="J7" s="138">
        <v>0</v>
      </c>
      <c r="K7" s="139">
        <f>C8</f>
        <v>53265</v>
      </c>
      <c r="L7" s="139">
        <f>C9</f>
        <v>57764</v>
      </c>
      <c r="M7" s="139">
        <f>C10</f>
        <v>1031409</v>
      </c>
    </row>
    <row r="8" spans="1:13" ht="18" customHeight="1">
      <c r="A8" s="92" t="s">
        <v>396</v>
      </c>
      <c r="B8" s="88">
        <f>'BALANCE DE SITUACIÓN'!D84</f>
        <v>242867</v>
      </c>
      <c r="C8" s="88">
        <f>'BALANCE DE SITUACIÓN'!C84</f>
        <v>53265</v>
      </c>
      <c r="D8" s="89">
        <f t="shared" si="0"/>
        <v>-189602</v>
      </c>
      <c r="E8" s="90">
        <f t="shared" si="1"/>
        <v>-0.78068243112485436</v>
      </c>
      <c r="F8" s="96" t="str">
        <f>IF(D8&gt;0,"Sube",IF(D8&lt;0,"Baja","Igual"))</f>
        <v>Baja</v>
      </c>
    </row>
    <row r="9" spans="1:13" ht="18" customHeight="1">
      <c r="A9" s="97" t="s">
        <v>397</v>
      </c>
      <c r="B9" s="93">
        <f>'BALANCE DE SITUACIÓN'!D110</f>
        <v>57796</v>
      </c>
      <c r="C9" s="93">
        <f>'BALANCE DE SITUACIÓN'!C110</f>
        <v>57764</v>
      </c>
      <c r="D9" s="94">
        <f t="shared" si="0"/>
        <v>-32</v>
      </c>
      <c r="E9" s="95">
        <f t="shared" si="1"/>
        <v>-5.5367153436223962E-4</v>
      </c>
      <c r="F9" s="96" t="str">
        <f t="shared" ref="F9:F10" si="2">IF(D9&gt;0,"Sube",IF(D9&lt;0,"Baja","Igual"))</f>
        <v>Baja</v>
      </c>
    </row>
    <row r="10" spans="1:13" ht="18" customHeight="1">
      <c r="A10" s="92" t="s">
        <v>398</v>
      </c>
      <c r="B10" s="88">
        <f>'BALANCE DE SITUACIÓN'!D127</f>
        <v>893250</v>
      </c>
      <c r="C10" s="88">
        <f>'BALANCE DE SITUACIÓN'!C127</f>
        <v>1031409</v>
      </c>
      <c r="D10" s="89">
        <f t="shared" si="0"/>
        <v>138159</v>
      </c>
      <c r="E10" s="90">
        <f t="shared" si="1"/>
        <v>0.15467002518891687</v>
      </c>
      <c r="F10" s="96" t="str">
        <f t="shared" si="2"/>
        <v>Sube</v>
      </c>
    </row>
    <row r="11" spans="1:13" ht="20.25" customHeight="1">
      <c r="A11" s="98" t="s">
        <v>399</v>
      </c>
      <c r="B11" s="101">
        <f>B8+B9+B10</f>
        <v>1193913</v>
      </c>
      <c r="C11" s="101">
        <f>C8+C9+C10</f>
        <v>1142438</v>
      </c>
      <c r="D11" s="101">
        <f t="shared" si="0"/>
        <v>-51475</v>
      </c>
      <c r="E11" s="103">
        <f t="shared" si="1"/>
        <v>-4.3114531795867876E-2</v>
      </c>
      <c r="F11" s="104"/>
    </row>
    <row r="12" spans="1:13" ht="8.25" customHeight="1"/>
    <row r="13" spans="1:13" ht="21.75" customHeight="1">
      <c r="A13" s="515" t="s">
        <v>400</v>
      </c>
      <c r="B13" s="516"/>
      <c r="C13" s="516"/>
      <c r="D13" s="516"/>
      <c r="E13" s="137"/>
      <c r="F13" s="137"/>
    </row>
    <row r="14" spans="1:13" ht="20.25" customHeight="1">
      <c r="A14" s="57" t="s">
        <v>383</v>
      </c>
      <c r="B14" s="254">
        <v>2022</v>
      </c>
      <c r="C14" s="254">
        <v>2023</v>
      </c>
      <c r="D14" s="134" t="s">
        <v>401</v>
      </c>
      <c r="E14" s="131"/>
      <c r="F14" s="131"/>
    </row>
    <row r="15" spans="1:13" ht="18" customHeight="1">
      <c r="A15" s="51" t="s">
        <v>355</v>
      </c>
      <c r="B15" s="107">
        <f>B5/B7</f>
        <v>0.38147754484623253</v>
      </c>
      <c r="C15" s="107">
        <f>C5/C7</f>
        <v>0.45286483817940232</v>
      </c>
      <c r="D15" s="108">
        <f>C15-B15</f>
        <v>7.1387293333169788E-2</v>
      </c>
    </row>
    <row r="16" spans="1:13" ht="18" customHeight="1">
      <c r="A16" s="111" t="s">
        <v>354</v>
      </c>
      <c r="B16" s="109">
        <f>B6/B7</f>
        <v>0.61852245515376747</v>
      </c>
      <c r="C16" s="109">
        <f>C6/C7</f>
        <v>0.54713516182059774</v>
      </c>
      <c r="D16" s="110">
        <f>C16-B16</f>
        <v>-7.1387293333169732E-2</v>
      </c>
    </row>
    <row r="17" spans="1:6" ht="20.25" customHeight="1">
      <c r="A17" s="117" t="s">
        <v>394</v>
      </c>
      <c r="B17" s="113">
        <f>B15+B16</f>
        <v>1</v>
      </c>
      <c r="C17" s="113">
        <f>C15+C16</f>
        <v>1</v>
      </c>
      <c r="D17" s="115"/>
    </row>
    <row r="18" spans="1:6" ht="18" customHeight="1">
      <c r="A18" s="51" t="s">
        <v>353</v>
      </c>
      <c r="B18" s="107">
        <f>B8/B11</f>
        <v>0.20342101978954916</v>
      </c>
      <c r="C18" s="107">
        <f>C8/C11</f>
        <v>4.6623974342590142E-2</v>
      </c>
      <c r="D18" s="108">
        <f>C18-B18</f>
        <v>-0.15679704544695902</v>
      </c>
    </row>
    <row r="19" spans="1:6" ht="18" customHeight="1">
      <c r="A19" s="111" t="s">
        <v>402</v>
      </c>
      <c r="B19" s="109">
        <f>B9/B11</f>
        <v>4.8408887414744625E-2</v>
      </c>
      <c r="C19" s="109">
        <f>C9/C11</f>
        <v>5.0562043629501119E-2</v>
      </c>
      <c r="D19" s="110">
        <f>C19-B19</f>
        <v>2.1531562147564937E-3</v>
      </c>
    </row>
    <row r="20" spans="1:6" ht="18" customHeight="1">
      <c r="A20" s="51" t="s">
        <v>403</v>
      </c>
      <c r="B20" s="107">
        <f>B10/B11</f>
        <v>0.74817009279570623</v>
      </c>
      <c r="C20" s="107">
        <f>C10/C11</f>
        <v>0.90281398202790875</v>
      </c>
      <c r="D20" s="108">
        <f>C20-B20</f>
        <v>0.15464388923220251</v>
      </c>
    </row>
    <row r="21" spans="1:6" ht="20.25" customHeight="1">
      <c r="A21" s="112" t="s">
        <v>399</v>
      </c>
      <c r="B21" s="114">
        <f>B18+B19+B20</f>
        <v>1</v>
      </c>
      <c r="C21" s="114">
        <f>C18+C19+C20</f>
        <v>1</v>
      </c>
      <c r="D21" s="116"/>
    </row>
    <row r="22" spans="1:6" ht="8.25" customHeight="1"/>
    <row r="23" spans="1:6" ht="21.75" customHeight="1">
      <c r="A23" s="515" t="s">
        <v>404</v>
      </c>
      <c r="B23" s="516"/>
      <c r="C23" s="516"/>
      <c r="D23" s="516"/>
      <c r="E23" s="136"/>
      <c r="F23" s="136"/>
    </row>
    <row r="24" spans="1:6" ht="20.25" customHeight="1">
      <c r="A24" s="57" t="s">
        <v>405</v>
      </c>
      <c r="B24" s="135">
        <v>2022</v>
      </c>
      <c r="C24" s="135">
        <v>2023</v>
      </c>
      <c r="D24" s="134" t="s">
        <v>406</v>
      </c>
      <c r="E24" s="131"/>
      <c r="F24" s="131"/>
    </row>
    <row r="25" spans="1:6" ht="18" customHeight="1">
      <c r="A25" s="119" t="s">
        <v>354</v>
      </c>
      <c r="B25" s="118">
        <f>B6</f>
        <v>738462</v>
      </c>
      <c r="C25" s="118">
        <f>C6</f>
        <v>625068</v>
      </c>
      <c r="D25" s="132">
        <f>C25-B25</f>
        <v>-113394</v>
      </c>
    </row>
    <row r="26" spans="1:6" ht="18" customHeight="1">
      <c r="A26" s="121" t="s">
        <v>407</v>
      </c>
      <c r="B26" s="120">
        <f>B10</f>
        <v>893250</v>
      </c>
      <c r="C26" s="120">
        <f>C10</f>
        <v>1031409</v>
      </c>
      <c r="D26" s="120">
        <f>C26-B26</f>
        <v>138159</v>
      </c>
    </row>
    <row r="27" spans="1:6" ht="20.25" customHeight="1">
      <c r="A27" s="122" t="s">
        <v>408</v>
      </c>
      <c r="B27" s="99">
        <f>B25-B26</f>
        <v>-154788</v>
      </c>
      <c r="C27" s="99">
        <f>C25-C26</f>
        <v>-406341</v>
      </c>
      <c r="D27" s="99">
        <f>C27-B27</f>
        <v>-251553</v>
      </c>
    </row>
    <row r="28" spans="1:6" ht="18" customHeight="1">
      <c r="A28" s="124" t="s">
        <v>409</v>
      </c>
      <c r="B28" s="123">
        <f>B27/B7</f>
        <v>-0.12964763764193873</v>
      </c>
      <c r="C28" s="123">
        <f>C27/C7</f>
        <v>-0.35567882020731101</v>
      </c>
      <c r="D28" s="133"/>
    </row>
    <row r="29" spans="1:6" ht="18" customHeight="1">
      <c r="A29" s="125" t="s">
        <v>410</v>
      </c>
      <c r="B29" s="126">
        <f>B27/B10</f>
        <v>-0.1732863140218304</v>
      </c>
      <c r="C29" s="126">
        <f>C27/C10</f>
        <v>-0.39396689383164196</v>
      </c>
      <c r="D29" s="127"/>
    </row>
    <row r="30" spans="1:6" ht="8.25" customHeight="1"/>
    <row r="31" spans="1:6" ht="21.75" customHeight="1">
      <c r="A31" s="518" t="s">
        <v>411</v>
      </c>
      <c r="B31" s="519"/>
      <c r="C31" s="519"/>
      <c r="D31" s="519"/>
      <c r="E31" s="519"/>
      <c r="F31" s="520"/>
    </row>
    <row r="32" spans="1:6" ht="80.25" customHeight="1">
      <c r="A32" s="128" t="s">
        <v>412</v>
      </c>
      <c r="B32" s="508" t="s">
        <v>413</v>
      </c>
      <c r="C32" s="508"/>
      <c r="D32" s="508"/>
      <c r="E32" s="508"/>
      <c r="F32" s="509"/>
    </row>
    <row r="33" spans="1:6" ht="65.25" customHeight="1">
      <c r="A33" s="129" t="s">
        <v>414</v>
      </c>
      <c r="B33" s="506" t="s">
        <v>415</v>
      </c>
      <c r="C33" s="506"/>
      <c r="D33" s="506"/>
      <c r="E33" s="506"/>
      <c r="F33" s="507"/>
    </row>
    <row r="34" spans="1:6" ht="80.25" customHeight="1">
      <c r="A34" s="128" t="s">
        <v>416</v>
      </c>
      <c r="B34" s="508" t="s">
        <v>417</v>
      </c>
      <c r="C34" s="508"/>
      <c r="D34" s="508"/>
      <c r="E34" s="508"/>
      <c r="F34" s="509"/>
    </row>
    <row r="35" spans="1:6" ht="75" customHeight="1">
      <c r="A35" s="130" t="s">
        <v>418</v>
      </c>
      <c r="B35" s="510" t="s">
        <v>419</v>
      </c>
      <c r="C35" s="510"/>
      <c r="D35" s="510"/>
      <c r="E35" s="510"/>
      <c r="F35" s="511"/>
    </row>
    <row r="40" spans="1:6">
      <c r="A40" s="255" t="s">
        <v>420</v>
      </c>
    </row>
    <row r="41" spans="1:6">
      <c r="A41" s="257" t="s">
        <v>383</v>
      </c>
      <c r="B41" s="257" t="s">
        <v>384</v>
      </c>
      <c r="C41" s="257" t="s">
        <v>385</v>
      </c>
      <c r="D41" s="257" t="s">
        <v>386</v>
      </c>
      <c r="E41" s="257" t="s">
        <v>387</v>
      </c>
      <c r="F41" s="257" t="s">
        <v>421</v>
      </c>
    </row>
    <row r="42" spans="1:6">
      <c r="A42" s="260" t="s">
        <v>390</v>
      </c>
      <c r="B42" s="261">
        <f>'BALANCE DE SITUACIÓN'!D3</f>
        <v>455451</v>
      </c>
      <c r="C42" s="261">
        <f>'BALANCE DE SITUACIÓN'!C3</f>
        <v>517370</v>
      </c>
      <c r="D42" s="261">
        <f>C42-B42</f>
        <v>61919</v>
      </c>
      <c r="E42" s="262">
        <f>IF(B42=0,"-",D42/B42)</f>
        <v>0.13595095850047537</v>
      </c>
      <c r="F42" s="262">
        <f>C42/$C$46</f>
        <v>0.45286483817940232</v>
      </c>
    </row>
    <row r="43" spans="1:6">
      <c r="A43" s="263" t="s">
        <v>422</v>
      </c>
      <c r="B43" s="264">
        <f>'BALANCE DE SITUACIÓN'!D38</f>
        <v>477896</v>
      </c>
      <c r="C43" s="264">
        <f>'BALANCE DE SITUACIÓN'!C38</f>
        <v>421245</v>
      </c>
      <c r="D43" s="264">
        <f>C43-B43</f>
        <v>-56651</v>
      </c>
      <c r="E43" s="265">
        <f>IF(B43=0,"-",D43/B43)</f>
        <v>-0.11854252808142357</v>
      </c>
      <c r="F43" s="265">
        <f>C43/$C$46</f>
        <v>0.3687246047487916</v>
      </c>
    </row>
    <row r="44" spans="1:6">
      <c r="A44" s="260" t="s">
        <v>423</v>
      </c>
      <c r="B44" s="261">
        <f>'BALANCE DE SITUACIÓN'!D51+'BALANCE DE SITUACIÓN'!D61+'BALANCE DE SITUACIÓN'!D68+'BALANCE DE SITUACIÓN'!D75</f>
        <v>259291</v>
      </c>
      <c r="C44" s="261">
        <f>'BALANCE DE SITUACIÓN'!C51+'BALANCE DE SITUACIÓN'!C61+'BALANCE DE SITUACIÓN'!C68+'BALANCE DE SITUACIÓN'!C75</f>
        <v>200374</v>
      </c>
      <c r="D44" s="261">
        <f>C44-B44</f>
        <v>-58917</v>
      </c>
      <c r="E44" s="262">
        <f>IF(B44=0,"-",D44/B44)</f>
        <v>-0.2272234670698173</v>
      </c>
      <c r="F44" s="262">
        <f>C44/$C$46</f>
        <v>0.17539157486007995</v>
      </c>
    </row>
    <row r="45" spans="1:6">
      <c r="A45" s="263" t="s">
        <v>424</v>
      </c>
      <c r="B45" s="264">
        <f>'BALANCE DE SITUACIÓN'!D76</f>
        <v>1275</v>
      </c>
      <c r="C45" s="264">
        <f>'BALANCE DE SITUACIÓN'!C76</f>
        <v>3449</v>
      </c>
      <c r="D45" s="264">
        <f>C45-B45</f>
        <v>2174</v>
      </c>
      <c r="E45" s="265">
        <f>IF(B45=0,"-",D45/B45)</f>
        <v>1.7050980392156863</v>
      </c>
      <c r="F45" s="265">
        <f>C45/$C$46</f>
        <v>3.0189822117261504E-3</v>
      </c>
    </row>
    <row r="46" spans="1:6">
      <c r="A46" s="266" t="s">
        <v>394</v>
      </c>
      <c r="B46" s="267">
        <f>B42+B43+B44+B45</f>
        <v>1193913</v>
      </c>
      <c r="C46" s="267">
        <f>C42+C43+C44+C45</f>
        <v>1142438</v>
      </c>
      <c r="D46" s="267">
        <f>C46-B46</f>
        <v>-51475</v>
      </c>
      <c r="E46" s="268">
        <f>IF(B46=0,"-",D46/B46)</f>
        <v>-4.3114531795867876E-2</v>
      </c>
      <c r="F46" s="268">
        <f>C46/$C$46</f>
        <v>1</v>
      </c>
    </row>
  </sheetData>
  <mergeCells count="9">
    <mergeCell ref="B33:F33"/>
    <mergeCell ref="B34:F34"/>
    <mergeCell ref="B35:F35"/>
    <mergeCell ref="A1:F1"/>
    <mergeCell ref="A3:F3"/>
    <mergeCell ref="A13:D13"/>
    <mergeCell ref="A23:D23"/>
    <mergeCell ref="A31:F31"/>
    <mergeCell ref="B32:F32"/>
  </mergeCells>
  <conditionalFormatting sqref="F5:F10">
    <cfRule type="containsText" dxfId="3" priority="1" operator="containsText" text="▲">
      <formula>NOT(ISERROR(SEARCH("▲",F5)))</formula>
    </cfRule>
    <cfRule type="containsText" dxfId="2" priority="2" operator="containsText" text="▼">
      <formula>NOT(ISERROR(SEARCH("▼",F5)))</formula>
    </cfRule>
    <cfRule type="containsText" dxfId="1" priority="3" operator="containsText" text="▲">
      <formula>NOT(ISERROR(SEARCH("▲",F5)))</formula>
    </cfRule>
    <cfRule type="containsText" dxfId="0" priority="4" operator="containsText" text="▼">
      <formula>NOT(ISERROR(SEARCH("▼",F5)))</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2FF8-E848-4FC4-9EBB-7ECBC09A15F9}">
  <sheetPr>
    <tabColor rgb="FF1B2A4A"/>
  </sheetPr>
  <dimension ref="A1:F9"/>
  <sheetViews>
    <sheetView workbookViewId="0">
      <selection activeCell="C9" sqref="C9"/>
    </sheetView>
  </sheetViews>
  <sheetFormatPr defaultColWidth="11.42578125" defaultRowHeight="15"/>
  <cols>
    <col min="1" max="1" width="57.140625" customWidth="1"/>
    <col min="2" max="3" width="21" customWidth="1"/>
    <col min="4" max="4" width="26.7109375" style="4" customWidth="1"/>
    <col min="5" max="5" width="49.42578125" style="10" customWidth="1"/>
    <col min="6" max="6" width="49.42578125" style="9" customWidth="1"/>
  </cols>
  <sheetData>
    <row r="1" spans="1:6" ht="35.25" customHeight="1">
      <c r="A1" s="521" t="s">
        <v>425</v>
      </c>
      <c r="B1" s="522"/>
      <c r="C1" s="522"/>
      <c r="D1" s="522"/>
      <c r="E1" s="522"/>
      <c r="F1" s="523"/>
    </row>
    <row r="2" spans="1:6" ht="24.75" customHeight="1">
      <c r="A2" s="208"/>
      <c r="B2" s="209">
        <v>2022</v>
      </c>
      <c r="C2" s="209">
        <v>2023</v>
      </c>
      <c r="D2" s="209" t="s">
        <v>426</v>
      </c>
      <c r="E2" s="209" t="s">
        <v>427</v>
      </c>
      <c r="F2" s="210" t="s">
        <v>428</v>
      </c>
    </row>
    <row r="3" spans="1:6" ht="54.75" customHeight="1">
      <c r="A3" s="190" t="s">
        <v>209</v>
      </c>
      <c r="B3" s="191">
        <f>RATIOS!B9</f>
        <v>0.79657898021045082</v>
      </c>
      <c r="C3" s="191">
        <f>RATIOS!C9</f>
        <v>0.95337602565740986</v>
      </c>
      <c r="D3" s="192" t="s">
        <v>429</v>
      </c>
      <c r="E3" s="193" t="s">
        <v>430</v>
      </c>
      <c r="F3" s="194" t="s">
        <v>431</v>
      </c>
    </row>
    <row r="4" spans="1:6" ht="54.75" customHeight="1">
      <c r="A4" s="65" t="s">
        <v>210</v>
      </c>
      <c r="B4" s="66">
        <f>RATIOS!B10</f>
        <v>0.25536829974575365</v>
      </c>
      <c r="C4" s="66">
        <f>RATIOS!C10</f>
        <v>4.8904076762828312E-2</v>
      </c>
      <c r="D4" s="82" t="s">
        <v>432</v>
      </c>
      <c r="E4" s="189" t="s">
        <v>433</v>
      </c>
      <c r="F4" s="84" t="s">
        <v>434</v>
      </c>
    </row>
    <row r="5" spans="1:6" ht="54.75" customHeight="1">
      <c r="A5" s="62" t="s">
        <v>211</v>
      </c>
      <c r="B5" s="63">
        <f>RATIOS!B11</f>
        <v>1.2553682997457536</v>
      </c>
      <c r="C5" s="63">
        <f>RATIOS!C11</f>
        <v>1.0489040767628284</v>
      </c>
      <c r="D5" s="81" t="s">
        <v>435</v>
      </c>
      <c r="E5" s="189" t="s">
        <v>436</v>
      </c>
      <c r="F5" s="84" t="s">
        <v>437</v>
      </c>
    </row>
    <row r="6" spans="1:6" ht="54.75" customHeight="1">
      <c r="A6" s="65" t="s">
        <v>212</v>
      </c>
      <c r="B6" s="66">
        <f>RATIOS!B12</f>
        <v>0.93922901731356845</v>
      </c>
      <c r="C6" s="66">
        <f>RATIOS!C12</f>
        <v>0.94696526630755629</v>
      </c>
      <c r="D6" s="82" t="s">
        <v>438</v>
      </c>
      <c r="E6" s="189" t="s">
        <v>439</v>
      </c>
      <c r="F6" s="84" t="s">
        <v>440</v>
      </c>
    </row>
    <row r="7" spans="1:6" ht="54.75" customHeight="1">
      <c r="A7" s="71" t="s">
        <v>213</v>
      </c>
      <c r="B7" s="63">
        <f>RATIOS!B13</f>
        <v>8.4993725594079174E-3</v>
      </c>
      <c r="C7" s="63">
        <f>RATIOS!C13</f>
        <v>3.0033657946895921E-2</v>
      </c>
      <c r="D7" s="81" t="s">
        <v>441</v>
      </c>
      <c r="E7" s="189" t="s">
        <v>442</v>
      </c>
      <c r="F7" s="84" t="s">
        <v>443</v>
      </c>
    </row>
    <row r="8" spans="1:6" ht="54.75" customHeight="1">
      <c r="A8" s="65" t="s">
        <v>214</v>
      </c>
      <c r="B8" s="66">
        <f>RATIOS!B14</f>
        <v>2.3080258453402329E-2</v>
      </c>
      <c r="C8" s="66">
        <f>RATIOS!C14</f>
        <v>4.9912425395870354E-2</v>
      </c>
      <c r="D8" s="82" t="s">
        <v>444</v>
      </c>
      <c r="E8" s="189" t="s">
        <v>445</v>
      </c>
      <c r="F8" s="84" t="s">
        <v>446</v>
      </c>
    </row>
    <row r="9" spans="1:6" ht="54.75" customHeight="1">
      <c r="A9" s="74" t="s">
        <v>215</v>
      </c>
      <c r="B9" s="80" t="str">
        <f>RATIOS!B15</f>
        <v>NO CUBRE (BAII negativo)</v>
      </c>
      <c r="C9" s="80" t="str">
        <f>RATIOS!C15</f>
        <v>NO CUBRE (BAII negativo)</v>
      </c>
      <c r="D9" s="83" t="s">
        <v>447</v>
      </c>
      <c r="E9" s="188" t="s">
        <v>448</v>
      </c>
      <c r="F9" s="188" t="s">
        <v>448</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D04CC-277C-44B1-9A2D-341CD1BE26C3}">
  <sheetPr>
    <tabColor rgb="FF1B2A4A"/>
  </sheetPr>
  <dimension ref="A1:F25"/>
  <sheetViews>
    <sheetView workbookViewId="0">
      <selection activeCell="E7" sqref="E7"/>
    </sheetView>
  </sheetViews>
  <sheetFormatPr defaultColWidth="11.42578125" defaultRowHeight="15"/>
  <cols>
    <col min="1" max="1" width="57.140625" customWidth="1"/>
    <col min="2" max="3" width="21" customWidth="1"/>
    <col min="4" max="4" width="26.7109375" customWidth="1"/>
    <col min="5" max="6" width="49.42578125" customWidth="1"/>
  </cols>
  <sheetData>
    <row r="1" spans="1:6" ht="35.25" customHeight="1">
      <c r="A1" s="524" t="s">
        <v>449</v>
      </c>
      <c r="B1" s="525"/>
      <c r="C1" s="525"/>
      <c r="D1" s="525"/>
      <c r="E1" s="525"/>
      <c r="F1" s="526"/>
    </row>
    <row r="2" spans="1:6" ht="24.75" customHeight="1">
      <c r="A2" s="208"/>
      <c r="B2" s="209">
        <v>2022</v>
      </c>
      <c r="C2" s="211">
        <v>2023</v>
      </c>
      <c r="D2" s="212" t="s">
        <v>426</v>
      </c>
      <c r="E2" s="213" t="s">
        <v>427</v>
      </c>
      <c r="F2" s="210" t="s">
        <v>428</v>
      </c>
    </row>
    <row r="3" spans="1:6" ht="60" customHeight="1">
      <c r="A3" s="190" t="s">
        <v>203</v>
      </c>
      <c r="B3" s="191">
        <f>RATIOS!B3</f>
        <v>0.82671368597816963</v>
      </c>
      <c r="C3" s="214">
        <f>RATIOS!C3</f>
        <v>0.60603310616835804</v>
      </c>
      <c r="D3" s="215" t="s">
        <v>450</v>
      </c>
      <c r="E3" s="216" t="s">
        <v>451</v>
      </c>
      <c r="F3" s="217" t="s">
        <v>452</v>
      </c>
    </row>
    <row r="4" spans="1:6" ht="84.75" customHeight="1">
      <c r="A4" s="65" t="s">
        <v>204</v>
      </c>
      <c r="B4" s="66">
        <f>RATIOS!B4</f>
        <v>0.29170556954939825</v>
      </c>
      <c r="C4" s="182">
        <f>RATIOS!C4</f>
        <v>0.19761607664854583</v>
      </c>
      <c r="D4" s="218" t="s">
        <v>453</v>
      </c>
      <c r="E4" s="219" t="s">
        <v>454</v>
      </c>
      <c r="F4" s="220" t="s">
        <v>455</v>
      </c>
    </row>
    <row r="5" spans="1:6" ht="84.75" customHeight="1">
      <c r="A5" s="62" t="s">
        <v>205</v>
      </c>
      <c r="B5" s="63">
        <f>RATIOS!B5</f>
        <v>1.4273719563392107E-3</v>
      </c>
      <c r="C5" s="183">
        <f>RATIOS!C5</f>
        <v>3.3439692692229755E-3</v>
      </c>
      <c r="D5" s="215" t="s">
        <v>456</v>
      </c>
      <c r="E5" s="219" t="s">
        <v>457</v>
      </c>
      <c r="F5" s="220" t="s">
        <v>458</v>
      </c>
    </row>
    <row r="6" spans="1:6" ht="60" customHeight="1">
      <c r="A6" s="65" t="s">
        <v>206</v>
      </c>
      <c r="B6" s="66">
        <f>RATIOS!B6</f>
        <v>-0.12964763764193873</v>
      </c>
      <c r="C6" s="182">
        <f>RATIOS!C6</f>
        <v>-0.35567882020731101</v>
      </c>
      <c r="D6" s="221" t="s">
        <v>459</v>
      </c>
      <c r="E6" s="219" t="s">
        <v>460</v>
      </c>
      <c r="F6" s="220" t="s">
        <v>461</v>
      </c>
    </row>
    <row r="7" spans="1:6" ht="84.75" customHeight="1">
      <c r="A7" s="74" t="s">
        <v>207</v>
      </c>
      <c r="B7" s="80">
        <f>RATIOS!B7</f>
        <v>-0.1732863140218304</v>
      </c>
      <c r="C7" s="222">
        <f>RATIOS!C7</f>
        <v>-0.39396689383164196</v>
      </c>
      <c r="D7" s="223" t="s">
        <v>459</v>
      </c>
      <c r="E7" s="224" t="s">
        <v>462</v>
      </c>
      <c r="F7" s="225" t="s">
        <v>463</v>
      </c>
    </row>
    <row r="11" spans="1:6" ht="24.75" customHeight="1"/>
    <row r="12" spans="1:6" ht="50.25" customHeight="1"/>
    <row r="13" spans="1:6" ht="50.25" customHeight="1"/>
    <row r="14" spans="1:6" ht="50.25" customHeight="1"/>
    <row r="15" spans="1:6" ht="50.25" customHeight="1"/>
    <row r="16" spans="1:6" ht="50.25" customHeight="1"/>
    <row r="20" ht="24.75" customHeight="1"/>
    <row r="21" ht="50.25" customHeight="1"/>
    <row r="22" ht="50.25" customHeight="1"/>
    <row r="23" ht="50.25" customHeight="1"/>
    <row r="24" ht="50.25" customHeight="1"/>
    <row r="25" ht="50.25" customHeight="1"/>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DAF27-16AC-4C20-B6BF-4A44A918ED1A}">
  <sheetPr>
    <tabColor rgb="FF1B2A4A"/>
  </sheetPr>
  <dimension ref="A1:G24"/>
  <sheetViews>
    <sheetView workbookViewId="0">
      <selection activeCell="D10" sqref="D10"/>
    </sheetView>
  </sheetViews>
  <sheetFormatPr defaultColWidth="11.42578125" defaultRowHeight="15"/>
  <cols>
    <col min="1" max="1" width="31.140625" customWidth="1"/>
    <col min="2" max="2" width="21.7109375" customWidth="1"/>
    <col min="3" max="3" width="20" customWidth="1"/>
    <col min="4" max="4" width="8.140625" bestFit="1" customWidth="1"/>
    <col min="5" max="5" width="24.28515625" customWidth="1"/>
    <col min="6" max="6" width="20" customWidth="1"/>
    <col min="7" max="7" width="6.7109375" customWidth="1"/>
    <col min="9" max="9" width="19.42578125" bestFit="1" customWidth="1"/>
  </cols>
  <sheetData>
    <row r="1" spans="1:7" ht="18.95">
      <c r="A1" s="527" t="s">
        <v>464</v>
      </c>
      <c r="B1" s="527"/>
      <c r="C1" s="527"/>
      <c r="D1" s="527"/>
      <c r="E1" s="527"/>
      <c r="F1" s="527"/>
      <c r="G1" s="527"/>
    </row>
    <row r="3" spans="1:7">
      <c r="A3" s="528" t="s">
        <v>465</v>
      </c>
      <c r="B3" s="528"/>
      <c r="C3" s="528"/>
      <c r="D3" s="528"/>
      <c r="E3" s="528"/>
      <c r="F3" s="528"/>
      <c r="G3" s="528"/>
    </row>
    <row r="4" spans="1:7">
      <c r="A4" s="226" t="s">
        <v>383</v>
      </c>
      <c r="B4" s="227" t="s">
        <v>384</v>
      </c>
      <c r="C4" s="227" t="s">
        <v>385</v>
      </c>
      <c r="D4" s="227" t="s">
        <v>406</v>
      </c>
      <c r="E4" s="228" t="s">
        <v>466</v>
      </c>
    </row>
    <row r="5" spans="1:7">
      <c r="A5" s="229" t="s">
        <v>467</v>
      </c>
      <c r="B5" s="230">
        <f>'BALANCE DE SITUACIÓN'!D3</f>
        <v>455451</v>
      </c>
      <c r="C5" s="230">
        <f>'BALANCE DE SITUACIÓN'!C3</f>
        <v>517370</v>
      </c>
      <c r="D5" s="231">
        <f>(C5-B5)+C6</f>
        <v>97922</v>
      </c>
      <c r="E5" s="232" t="str">
        <f>IF(D5&gt;0,"Aplicación l/p",IF(D5&lt;0,"Origen l/p","-"))</f>
        <v>Aplicación l/p</v>
      </c>
    </row>
    <row r="6" spans="1:7">
      <c r="A6" s="233" t="s">
        <v>468</v>
      </c>
      <c r="B6" s="234">
        <f>ABS('CUENTA DE PÉRDIDAS Y GANANCIAS'!D28)</f>
        <v>30024</v>
      </c>
      <c r="C6" s="234">
        <f>ABS('CUENTA DE PÉRDIDAS Y GANANCIAS'!C28)</f>
        <v>36003</v>
      </c>
      <c r="D6" s="235"/>
      <c r="E6" s="236" t="s">
        <v>469</v>
      </c>
    </row>
    <row r="7" spans="1:7">
      <c r="A7" s="229" t="s">
        <v>470</v>
      </c>
      <c r="B7" s="230">
        <f>'BALANCE DE SITUACIÓN'!D84</f>
        <v>242867</v>
      </c>
      <c r="C7" s="230">
        <f>'BALANCE DE SITUACIÓN'!C84</f>
        <v>53265</v>
      </c>
      <c r="D7" s="231">
        <f>(C7-B7)-'BALANCE DE SITUACIÓN'!C100</f>
        <v>6210</v>
      </c>
      <c r="E7" s="232" t="str">
        <f>IF(D7&gt;0,"Origen l/p",IF(D7&lt;0,"Aplicación l/p","-"))</f>
        <v>Origen l/p</v>
      </c>
    </row>
    <row r="8" spans="1:7">
      <c r="A8" s="233" t="s">
        <v>471</v>
      </c>
      <c r="B8" s="237"/>
      <c r="C8" s="234">
        <f>'BALANCE DE SITUACIÓN'!C100</f>
        <v>-195812</v>
      </c>
      <c r="D8" s="238">
        <f>C8</f>
        <v>-195812</v>
      </c>
      <c r="E8" s="236" t="str">
        <f>IF(C8&gt;=0,"Origen l/p (beneficio)","Aplicación l/p (pérdidas)")</f>
        <v>Aplicación l/p (pérdidas)</v>
      </c>
    </row>
    <row r="9" spans="1:7">
      <c r="A9" s="229" t="s">
        <v>397</v>
      </c>
      <c r="B9" s="230">
        <f>'BALANCE DE SITUACIÓN'!D110</f>
        <v>57796</v>
      </c>
      <c r="C9" s="230">
        <f>'BALANCE DE SITUACIÓN'!C110</f>
        <v>57764</v>
      </c>
      <c r="D9" s="231">
        <f>C9-B9</f>
        <v>-32</v>
      </c>
      <c r="E9" s="232" t="str">
        <f>IF(D9&gt;0,"Origen l/p",IF(D9&lt;0,"Aplicación l/p","-"))</f>
        <v>Aplicación l/p</v>
      </c>
    </row>
    <row r="10" spans="1:7">
      <c r="A10" s="233" t="s">
        <v>422</v>
      </c>
      <c r="B10" s="234">
        <f>'BALANCE DE SITUACIÓN'!D38</f>
        <v>477896</v>
      </c>
      <c r="C10" s="234">
        <f>'BALANCE DE SITUACIÓN'!C38</f>
        <v>421245</v>
      </c>
      <c r="D10" s="238">
        <f>C10-B10</f>
        <v>-56651</v>
      </c>
      <c r="E10" s="236" t="str">
        <f>IF(D10&gt;0,"Aplicación c/p",IF(D10&lt;0,"Origen c/p","-"))</f>
        <v>Origen c/p</v>
      </c>
    </row>
    <row r="11" spans="1:7">
      <c r="A11" s="229" t="s">
        <v>423</v>
      </c>
      <c r="B11" s="230">
        <f>'BALANCE DE SITUACIÓN'!D51+'BALANCE DE SITUACIÓN'!D61+'BALANCE DE SITUACIÓN'!D68+'BALANCE DE SITUACIÓN'!D75</f>
        <v>259291</v>
      </c>
      <c r="C11" s="230">
        <f>'BALANCE DE SITUACIÓN'!C51+'BALANCE DE SITUACIÓN'!C61+'BALANCE DE SITUACIÓN'!C68+'BALANCE DE SITUACIÓN'!C75</f>
        <v>200374</v>
      </c>
      <c r="D11" s="231">
        <f>C11-B11</f>
        <v>-58917</v>
      </c>
      <c r="E11" s="232" t="str">
        <f>IF(D11&gt;0,"Aplicación c/p",IF(D11&lt;0,"Origen c/p","-"))</f>
        <v>Origen c/p</v>
      </c>
    </row>
    <row r="12" spans="1:7">
      <c r="A12" s="233" t="s">
        <v>472</v>
      </c>
      <c r="B12" s="234">
        <f>'BALANCE DE SITUACIÓN'!D76</f>
        <v>1275</v>
      </c>
      <c r="C12" s="234">
        <f>'BALANCE DE SITUACIÓN'!C76</f>
        <v>3449</v>
      </c>
      <c r="D12" s="238">
        <f>C12-B12</f>
        <v>2174</v>
      </c>
      <c r="E12" s="236" t="str">
        <f>IF(D12&gt;0,"Aplicación c/p",IF(D12&lt;0,"Origen c/p","-"))</f>
        <v>Aplicación c/p</v>
      </c>
    </row>
    <row r="13" spans="1:7">
      <c r="A13" s="239" t="s">
        <v>398</v>
      </c>
      <c r="B13" s="240">
        <f>'BALANCE DE SITUACIÓN'!D127</f>
        <v>893250</v>
      </c>
      <c r="C13" s="240">
        <f>'BALANCE DE SITUACIÓN'!C127</f>
        <v>1031409</v>
      </c>
      <c r="D13" s="241">
        <f>C13-B13</f>
        <v>138159</v>
      </c>
      <c r="E13" s="242" t="str">
        <f>IF(D13&gt;0,"Origen c/p",IF(D13&lt;0,"Aplicación c/p","-"))</f>
        <v>Origen c/p</v>
      </c>
    </row>
    <row r="15" spans="1:7">
      <c r="A15" s="528" t="s">
        <v>473</v>
      </c>
      <c r="B15" s="528"/>
      <c r="C15" s="528"/>
      <c r="D15" s="528"/>
      <c r="E15" s="528"/>
      <c r="F15" s="528"/>
      <c r="G15" s="528"/>
    </row>
    <row r="16" spans="1:7">
      <c r="A16" s="85"/>
      <c r="B16" s="243" t="s">
        <v>474</v>
      </c>
      <c r="C16" s="243" t="s">
        <v>475</v>
      </c>
      <c r="D16" s="198"/>
      <c r="E16" s="244" t="s">
        <v>476</v>
      </c>
      <c r="F16" s="244" t="s">
        <v>475</v>
      </c>
      <c r="G16" s="85"/>
    </row>
    <row r="17" spans="1:6">
      <c r="A17" s="195" t="s">
        <v>477</v>
      </c>
      <c r="B17" s="245" t="s">
        <v>355</v>
      </c>
      <c r="C17" s="246">
        <f>ABS(D5)</f>
        <v>97922</v>
      </c>
      <c r="D17" s="199"/>
      <c r="E17" s="247" t="s">
        <v>353</v>
      </c>
      <c r="F17" s="248">
        <f>ABS(D7)</f>
        <v>6210</v>
      </c>
    </row>
    <row r="18" spans="1:6">
      <c r="A18" s="196"/>
      <c r="B18" s="245" t="s">
        <v>402</v>
      </c>
      <c r="C18" s="246">
        <f>ABS(D9)</f>
        <v>32</v>
      </c>
      <c r="D18" s="199"/>
      <c r="E18" s="247" t="s">
        <v>468</v>
      </c>
      <c r="F18" s="248">
        <f>C6</f>
        <v>36003</v>
      </c>
    </row>
    <row r="19" spans="1:6">
      <c r="A19" s="196"/>
      <c r="B19" s="245" t="s">
        <v>478</v>
      </c>
      <c r="C19" s="246">
        <f>ABS(D8)</f>
        <v>195812</v>
      </c>
      <c r="D19" s="199"/>
      <c r="E19" s="249" t="s">
        <v>479</v>
      </c>
      <c r="F19" s="250">
        <f>SUM(C17:C19)-SUM(F17:F18)</f>
        <v>251553</v>
      </c>
    </row>
    <row r="20" spans="1:6">
      <c r="A20" s="196"/>
      <c r="B20" s="200"/>
      <c r="C20" s="200"/>
      <c r="D20" s="201"/>
      <c r="E20" s="202"/>
      <c r="F20" s="202"/>
    </row>
    <row r="21" spans="1:6">
      <c r="A21" s="195" t="s">
        <v>480</v>
      </c>
      <c r="B21" s="245" t="s">
        <v>472</v>
      </c>
      <c r="C21" s="246">
        <f>ABS(D12)</f>
        <v>2174</v>
      </c>
      <c r="D21" s="199"/>
      <c r="E21" s="247" t="s">
        <v>422</v>
      </c>
      <c r="F21" s="248">
        <f>ABS(D10)</f>
        <v>56651</v>
      </c>
    </row>
    <row r="22" spans="1:6">
      <c r="A22" s="196"/>
      <c r="B22" s="197"/>
      <c r="C22" s="197"/>
      <c r="D22" s="199"/>
      <c r="E22" s="247" t="s">
        <v>423</v>
      </c>
      <c r="F22" s="248">
        <f>ABS(D11)</f>
        <v>58917</v>
      </c>
    </row>
    <row r="23" spans="1:6">
      <c r="A23" s="196"/>
      <c r="B23" s="197"/>
      <c r="C23" s="197"/>
      <c r="D23" s="199"/>
      <c r="E23" s="247" t="s">
        <v>403</v>
      </c>
      <c r="F23" s="248">
        <f>ABS(D13)</f>
        <v>138159</v>
      </c>
    </row>
    <row r="24" spans="1:6">
      <c r="A24" s="196"/>
      <c r="B24" s="251" t="s">
        <v>481</v>
      </c>
      <c r="C24" s="252">
        <f>SUM(C17:C19)+SUM(C21:C21)</f>
        <v>295940</v>
      </c>
      <c r="D24" s="203"/>
      <c r="E24" s="251" t="s">
        <v>481</v>
      </c>
      <c r="F24" s="252">
        <f>SUM(F17:F18)+SUM(F21:F23)</f>
        <v>295940</v>
      </c>
    </row>
  </sheetData>
  <mergeCells count="3">
    <mergeCell ref="A1:G1"/>
    <mergeCell ref="A3:G3"/>
    <mergeCell ref="A15:G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5730-37DA-4AFD-81CC-9E788E81BCC4}">
  <sheetPr>
    <tabColor rgb="FF1B2A4A"/>
  </sheetPr>
  <dimension ref="A1:K115"/>
  <sheetViews>
    <sheetView topLeftCell="A89" workbookViewId="0">
      <selection activeCell="D114" sqref="D114"/>
    </sheetView>
  </sheetViews>
  <sheetFormatPr defaultColWidth="11.42578125" defaultRowHeight="15"/>
  <cols>
    <col min="1" max="1" width="50" bestFit="1" customWidth="1"/>
    <col min="2" max="2" width="28.42578125" bestFit="1" customWidth="1"/>
    <col min="3" max="3" width="22.42578125" bestFit="1" customWidth="1"/>
    <col min="4" max="4" width="32.140625" customWidth="1"/>
    <col min="5" max="5" width="13.7109375" bestFit="1" customWidth="1"/>
    <col min="6" max="6" width="15.140625" bestFit="1" customWidth="1"/>
    <col min="7" max="7" width="9.85546875" bestFit="1" customWidth="1"/>
    <col min="8" max="8" width="9.140625"/>
    <col min="9" max="9" width="19.42578125" bestFit="1" customWidth="1"/>
  </cols>
  <sheetData>
    <row r="1" spans="1:11" ht="26.25" customHeight="1">
      <c r="A1" s="529" t="s">
        <v>482</v>
      </c>
      <c r="B1" s="529"/>
      <c r="C1" s="529"/>
      <c r="D1" s="529"/>
      <c r="E1" s="529"/>
      <c r="F1" s="529"/>
      <c r="G1" s="529"/>
      <c r="H1" s="436"/>
      <c r="I1" s="436"/>
      <c r="J1" s="436"/>
      <c r="K1" s="436"/>
    </row>
    <row r="2" spans="1:11">
      <c r="A2" s="258"/>
      <c r="B2" s="258"/>
      <c r="C2" s="258"/>
      <c r="D2" s="258"/>
      <c r="E2" s="258"/>
      <c r="F2" s="258"/>
      <c r="G2" s="258"/>
      <c r="H2" s="258"/>
      <c r="I2" s="258"/>
      <c r="J2" s="258"/>
      <c r="K2" s="258"/>
    </row>
    <row r="3" spans="1:11" ht="15.95" customHeight="1">
      <c r="A3" s="531" t="s">
        <v>483</v>
      </c>
      <c r="B3" s="531"/>
      <c r="C3" s="531"/>
      <c r="D3" s="531"/>
      <c r="E3" s="531"/>
      <c r="F3" s="531"/>
      <c r="G3" s="531"/>
      <c r="H3" s="258"/>
      <c r="I3" s="258"/>
      <c r="J3" s="258"/>
      <c r="K3" s="258"/>
    </row>
    <row r="4" spans="1:11">
      <c r="A4" s="258"/>
      <c r="B4" s="258"/>
      <c r="C4" s="258"/>
      <c r="D4" s="258"/>
      <c r="E4" s="258"/>
      <c r="F4" s="258"/>
      <c r="G4" s="258"/>
      <c r="H4" s="258"/>
      <c r="I4" s="258"/>
      <c r="J4" s="258"/>
      <c r="K4" s="258"/>
    </row>
    <row r="5" spans="1:11">
      <c r="A5" s="364" t="s">
        <v>405</v>
      </c>
      <c r="B5" s="365" t="s">
        <v>385</v>
      </c>
      <c r="C5" s="365" t="s">
        <v>384</v>
      </c>
      <c r="D5" s="365" t="s">
        <v>484</v>
      </c>
      <c r="E5" s="365" t="s">
        <v>485</v>
      </c>
      <c r="F5" s="365" t="s">
        <v>486</v>
      </c>
      <c r="G5" s="366" t="s">
        <v>487</v>
      </c>
      <c r="H5" s="258"/>
      <c r="I5" s="258"/>
      <c r="J5" s="258"/>
      <c r="K5" s="258"/>
    </row>
    <row r="6" spans="1:11">
      <c r="A6" s="369" t="s">
        <v>488</v>
      </c>
      <c r="B6" s="370">
        <f>'CUENTA DE PÉRDIDAS Y GANANCIAS'!C4</f>
        <v>1313068</v>
      </c>
      <c r="C6" s="370">
        <f>'CUENTA DE PÉRDIDAS Y GANANCIAS'!D4</f>
        <v>1912676</v>
      </c>
      <c r="D6" s="371">
        <f>B6/$B$6</f>
        <v>1</v>
      </c>
      <c r="E6" s="371">
        <f>C6/$C$6</f>
        <v>1</v>
      </c>
      <c r="F6" s="370">
        <f>B6-C6</f>
        <v>-599608</v>
      </c>
      <c r="G6" s="372">
        <f>IFERROR(F6/ABS(C6),"n/a")</f>
        <v>-0.31349167344599921</v>
      </c>
      <c r="H6" s="258"/>
      <c r="I6" s="258"/>
      <c r="J6" s="258"/>
      <c r="K6" s="258"/>
    </row>
    <row r="7" spans="1:11">
      <c r="A7" s="373" t="s">
        <v>489</v>
      </c>
      <c r="B7" s="374">
        <f>'CUENTA DE PÉRDIDAS Y GANANCIAS'!C10+'CUENTA DE PÉRDIDAS Y GANANCIAS'!C8+'CUENTA DE PÉRDIDAS Y GANANCIAS'!C9</f>
        <v>-1164466</v>
      </c>
      <c r="C7" s="374">
        <f>'CUENTA DE PÉRDIDAS Y GANANCIAS'!D10+'CUENTA DE PÉRDIDAS Y GANANCIAS'!D8+'CUENTA DE PÉRDIDAS Y GANANCIAS'!D9</f>
        <v>-1414210</v>
      </c>
      <c r="D7" s="375">
        <f>B7/$B$6</f>
        <v>-0.88682840492647752</v>
      </c>
      <c r="E7" s="375">
        <f>C7/$C$6</f>
        <v>-0.73938816610863523</v>
      </c>
      <c r="F7" s="374">
        <f>B7-C7</f>
        <v>249744</v>
      </c>
      <c r="G7" s="376">
        <f>IFERROR(F7/ABS(C7),"n/a")</f>
        <v>0.17659612080242679</v>
      </c>
      <c r="H7" s="258"/>
      <c r="I7" s="258"/>
      <c r="J7" s="258"/>
      <c r="K7" s="258"/>
    </row>
    <row r="8" spans="1:11">
      <c r="A8" s="377" t="s">
        <v>490</v>
      </c>
      <c r="B8" s="378">
        <f>B6+B7</f>
        <v>148602</v>
      </c>
      <c r="C8" s="378">
        <f>C6+C7</f>
        <v>498466</v>
      </c>
      <c r="D8" s="379">
        <f>B8/$B$6</f>
        <v>0.11317159507352247</v>
      </c>
      <c r="E8" s="379">
        <f>C8/$C$6</f>
        <v>0.26061183389136477</v>
      </c>
      <c r="F8" s="378">
        <f>B8-C8</f>
        <v>-349864</v>
      </c>
      <c r="G8" s="380">
        <f>IFERROR(F8/ABS(C8),"n/a")</f>
        <v>-0.70188137204944767</v>
      </c>
      <c r="H8" s="258"/>
      <c r="I8" s="258"/>
      <c r="J8" s="258"/>
      <c r="K8" s="258"/>
    </row>
    <row r="9" spans="1:11">
      <c r="A9" s="373" t="s">
        <v>491</v>
      </c>
      <c r="B9" s="374">
        <f>'CUENTA DE PÉRDIDAS Y GANANCIAS'!C22</f>
        <v>-245240</v>
      </c>
      <c r="C9" s="374">
        <f>'CUENTA DE PÉRDIDAS Y GANANCIAS'!D22</f>
        <v>-425170</v>
      </c>
      <c r="D9" s="375">
        <f>B9/$B$6</f>
        <v>-0.18676869743227312</v>
      </c>
      <c r="E9" s="375">
        <f>C9/$C$6</f>
        <v>-0.22229065455937128</v>
      </c>
      <c r="F9" s="374">
        <f>B9-C9</f>
        <v>179930</v>
      </c>
      <c r="G9" s="376">
        <f>IFERROR(F9/ABS(C9),"n/a")</f>
        <v>0.42319542771126845</v>
      </c>
      <c r="H9" s="258"/>
      <c r="I9" s="258"/>
      <c r="J9" s="258"/>
      <c r="K9" s="258"/>
    </row>
    <row r="10" spans="1:11">
      <c r="A10" s="369" t="s">
        <v>492</v>
      </c>
      <c r="B10" s="370">
        <f>'CUENTA DE PÉRDIDAS Y GANANCIAS'!C15+'CUENTA DE PÉRDIDAS Y GANANCIAS'!C29</f>
        <v>32796</v>
      </c>
      <c r="C10" s="370">
        <f>'CUENTA DE PÉRDIDAS Y GANANCIAS'!D15+'CUENTA DE PÉRDIDAS Y GANANCIAS'!D29</f>
        <v>16527</v>
      </c>
      <c r="D10" s="371">
        <f>B10/$B$6</f>
        <v>2.4976619641937814E-2</v>
      </c>
      <c r="E10" s="371">
        <f>C10/$C$6</f>
        <v>8.6407734503909702E-3</v>
      </c>
      <c r="F10" s="370">
        <f>B10-C10</f>
        <v>16269</v>
      </c>
      <c r="G10" s="372">
        <f>IFERROR(F10/ABS(C10),"n/a")</f>
        <v>0.98438918133962605</v>
      </c>
      <c r="H10" s="258"/>
      <c r="I10" s="258"/>
      <c r="J10" s="258"/>
      <c r="K10" s="258"/>
    </row>
    <row r="11" spans="1:11">
      <c r="A11" s="381" t="s">
        <v>493</v>
      </c>
      <c r="B11" s="382">
        <f>B8+B9+B10</f>
        <v>-63842</v>
      </c>
      <c r="C11" s="382">
        <f>C8+C9+C10</f>
        <v>89823</v>
      </c>
      <c r="D11" s="383">
        <f>B11/$B$6</f>
        <v>-4.8620482716812838E-2</v>
      </c>
      <c r="E11" s="383">
        <f>C11/$C$6</f>
        <v>4.6961952782384471E-2</v>
      </c>
      <c r="F11" s="382">
        <f>B11-C11</f>
        <v>-153665</v>
      </c>
      <c r="G11" s="384">
        <f>IFERROR(F11/ABS(C11),"n/a")</f>
        <v>-1.7107533705175735</v>
      </c>
      <c r="H11" s="258"/>
      <c r="I11" s="258"/>
      <c r="J11" s="258"/>
      <c r="K11" s="258"/>
    </row>
    <row r="12" spans="1:11">
      <c r="A12" s="369" t="s">
        <v>494</v>
      </c>
      <c r="B12" s="370">
        <f>'CUENTA DE PÉRDIDAS Y GANANCIAS'!C18</f>
        <v>-124720</v>
      </c>
      <c r="C12" s="370">
        <f>'CUENTA DE PÉRDIDAS Y GANANCIAS'!D18</f>
        <v>-129817</v>
      </c>
      <c r="D12" s="371">
        <f>B12/$B$6</f>
        <v>-9.4983656596611898E-2</v>
      </c>
      <c r="E12" s="371">
        <f>C12/$C$6</f>
        <v>-6.7871923943208359E-2</v>
      </c>
      <c r="F12" s="370">
        <f>B12-C12</f>
        <v>5097</v>
      </c>
      <c r="G12" s="372">
        <f>IFERROR(F12/ABS(C12),"n/a")</f>
        <v>3.9262962477949727E-2</v>
      </c>
      <c r="H12" s="258"/>
      <c r="I12" s="258"/>
      <c r="J12" s="258"/>
      <c r="K12" s="258"/>
    </row>
    <row r="13" spans="1:11">
      <c r="A13" s="381" t="s">
        <v>495</v>
      </c>
      <c r="B13" s="382">
        <f>B11+B12</f>
        <v>-188562</v>
      </c>
      <c r="C13" s="382">
        <f>C11+C12</f>
        <v>-39994</v>
      </c>
      <c r="D13" s="383">
        <f>B13/$B$6</f>
        <v>-0.14360413931342475</v>
      </c>
      <c r="E13" s="383">
        <f>C13/$C$6</f>
        <v>-2.0909971160823892E-2</v>
      </c>
      <c r="F13" s="382">
        <f>B13-C13</f>
        <v>-148568</v>
      </c>
      <c r="G13" s="384">
        <f>IFERROR(F13/ABS(C13),"n/a")</f>
        <v>-3.7147572135820375</v>
      </c>
      <c r="H13" s="258"/>
      <c r="I13" s="258"/>
      <c r="J13" s="258"/>
      <c r="K13" s="258"/>
    </row>
    <row r="14" spans="1:11">
      <c r="A14" s="369" t="s">
        <v>496</v>
      </c>
      <c r="B14" s="370">
        <f>'CUENTA DE PÉRDIDAS Y GANANCIAS'!C28</f>
        <v>-36003</v>
      </c>
      <c r="C14" s="370">
        <f>'CUENTA DE PÉRDIDAS Y GANANCIAS'!D28</f>
        <v>-30024</v>
      </c>
      <c r="D14" s="371">
        <f>B14/$B$6</f>
        <v>-2.7418991247978017E-2</v>
      </c>
      <c r="E14" s="371">
        <f>C14/$C$6</f>
        <v>-1.5697378960158437E-2</v>
      </c>
      <c r="F14" s="370">
        <f>B14-C14</f>
        <v>-5979</v>
      </c>
      <c r="G14" s="372">
        <f>IFERROR(F14/ABS(C14),"n/a")</f>
        <v>-0.19914068745003996</v>
      </c>
      <c r="H14" s="258"/>
      <c r="I14" s="258"/>
      <c r="J14" s="258"/>
      <c r="K14" s="258"/>
    </row>
    <row r="15" spans="1:11">
      <c r="A15" s="373" t="s">
        <v>497</v>
      </c>
      <c r="B15" s="374">
        <f>'CUENTA DE PÉRDIDAS Y GANANCIAS'!C31</f>
        <v>-411</v>
      </c>
      <c r="C15" s="374">
        <f>'CUENTA DE PÉRDIDAS Y GANANCIAS'!D31</f>
        <v>-241</v>
      </c>
      <c r="D15" s="375">
        <f>B15/$B$6</f>
        <v>-3.1300739946446034E-4</v>
      </c>
      <c r="E15" s="375">
        <f>C15/$C$6</f>
        <v>-1.2600147646543377E-4</v>
      </c>
      <c r="F15" s="374">
        <f>B15-C15</f>
        <v>-170</v>
      </c>
      <c r="G15" s="376">
        <f>IFERROR(F15/ABS(C15),"n/a")</f>
        <v>-0.70539419087136934</v>
      </c>
      <c r="H15" s="258"/>
      <c r="I15" s="258"/>
      <c r="J15" s="258"/>
      <c r="K15" s="258"/>
    </row>
    <row r="16" spans="1:11">
      <c r="A16" s="385" t="s">
        <v>498</v>
      </c>
      <c r="B16" s="386">
        <f>B13+B14+B15</f>
        <v>-224976</v>
      </c>
      <c r="C16" s="386">
        <f>C13+C14+C15</f>
        <v>-70259</v>
      </c>
      <c r="D16" s="387">
        <f>B16/$B$6</f>
        <v>-0.17133613796086722</v>
      </c>
      <c r="E16" s="387">
        <f>C16/$C$6</f>
        <v>-3.6733351597447762E-2</v>
      </c>
      <c r="F16" s="386">
        <f>B16-C16</f>
        <v>-154717</v>
      </c>
      <c r="G16" s="388">
        <f>IFERROR(F16/ABS(C16),"n/a")</f>
        <v>-2.2020951052534197</v>
      </c>
      <c r="H16" s="258"/>
      <c r="I16" s="258"/>
      <c r="J16" s="258"/>
      <c r="K16" s="258"/>
    </row>
    <row r="17" spans="1:11">
      <c r="A17" s="373" t="s">
        <v>499</v>
      </c>
      <c r="B17" s="374">
        <f>'CUENTA DE PÉRDIDAS Y GANANCIAS'!C38</f>
        <v>350</v>
      </c>
      <c r="C17" s="374">
        <f>'CUENTA DE PÉRDIDAS Y GANANCIAS'!D38</f>
        <v>1903</v>
      </c>
      <c r="D17" s="375">
        <f>B17/$B$6</f>
        <v>2.6655131341255748E-4</v>
      </c>
      <c r="E17" s="375">
        <f>C17/$C$6</f>
        <v>9.9494111914406836E-4</v>
      </c>
      <c r="F17" s="374">
        <f>B17-C17</f>
        <v>-1553</v>
      </c>
      <c r="G17" s="376">
        <f>IFERROR(F17/ABS(C17),"n/a")</f>
        <v>-0.81607987388334213</v>
      </c>
      <c r="H17" s="258"/>
      <c r="I17" s="258"/>
      <c r="J17" s="258"/>
      <c r="K17" s="258"/>
    </row>
    <row r="18" spans="1:11">
      <c r="A18" s="369" t="s">
        <v>500</v>
      </c>
      <c r="B18" s="370">
        <f>'CUENTA DE PÉRDIDAS Y GANANCIAS'!C46</f>
        <v>-39155</v>
      </c>
      <c r="C18" s="370">
        <f>'CUENTA DE PÉRDIDAS Y GANANCIAS'!D46</f>
        <v>-16235</v>
      </c>
      <c r="D18" s="371">
        <f>B18/$B$6</f>
        <v>-2.9819476219053391E-2</v>
      </c>
      <c r="E18" s="371">
        <f>C18/$C$6</f>
        <v>-8.4881077610635576E-3</v>
      </c>
      <c r="F18" s="370">
        <f>B18-C18</f>
        <v>-22920</v>
      </c>
      <c r="G18" s="372">
        <f>IFERROR(F18/ABS(C18),"n/a")</f>
        <v>-1.411764705882353</v>
      </c>
      <c r="H18" s="258"/>
      <c r="I18" s="258"/>
      <c r="J18" s="258"/>
      <c r="K18" s="258"/>
    </row>
    <row r="19" spans="1:11">
      <c r="A19" s="373" t="s">
        <v>501</v>
      </c>
      <c r="B19" s="374">
        <f>'CUENTA DE PÉRDIDAS Y GANANCIAS'!C50+'CUENTA DE PÉRDIDAS Y GANANCIAS'!C53</f>
        <v>1311</v>
      </c>
      <c r="C19" s="374">
        <f>'CUENTA DE PÉRDIDAS Y GANANCIAS'!D50+'CUENTA DE PÉRDIDAS Y GANANCIAS'!D53</f>
        <v>1375</v>
      </c>
      <c r="D19" s="375">
        <f>B19/$B$6</f>
        <v>9.9842506252532243E-4</v>
      </c>
      <c r="E19" s="375">
        <f>C19/$C$6</f>
        <v>7.1888809186710137E-4</v>
      </c>
      <c r="F19" s="374">
        <f>B19-C19</f>
        <v>-64</v>
      </c>
      <c r="G19" s="376">
        <f>IFERROR(F19/ABS(C19),"n/a")</f>
        <v>-4.6545454545454543E-2</v>
      </c>
      <c r="H19" s="258"/>
      <c r="I19" s="258"/>
      <c r="J19" s="258"/>
      <c r="K19" s="258"/>
    </row>
    <row r="20" spans="1:11">
      <c r="A20" s="381" t="s">
        <v>502</v>
      </c>
      <c r="B20" s="382">
        <f>B16+B17+B18+B19</f>
        <v>-262470</v>
      </c>
      <c r="C20" s="382">
        <f>C16+C17+C18+C19</f>
        <v>-83216</v>
      </c>
      <c r="D20" s="383">
        <f>B20/$B$6</f>
        <v>-0.19989063780398272</v>
      </c>
      <c r="E20" s="383">
        <f>C20/$C$6</f>
        <v>-4.350763014750015E-2</v>
      </c>
      <c r="F20" s="382">
        <f>B20-C20</f>
        <v>-179254</v>
      </c>
      <c r="G20" s="384">
        <f>IFERROR(F20/ABS(C20),"n/a")</f>
        <v>-2.1540809459719283</v>
      </c>
      <c r="H20" s="258"/>
      <c r="I20" s="258"/>
      <c r="J20" s="258"/>
      <c r="K20" s="258"/>
    </row>
    <row r="21" spans="1:11">
      <c r="A21" s="373" t="s">
        <v>503</v>
      </c>
      <c r="B21" s="374">
        <f>'CUENTA DE PÉRDIDAS Y GANANCIAS'!C63</f>
        <v>66658</v>
      </c>
      <c r="C21" s="374">
        <f>'CUENTA DE PÉRDIDAS Y GANANCIAS'!D63</f>
        <v>22488</v>
      </c>
      <c r="D21" s="375">
        <f>B21/$B$6</f>
        <v>5.076507842701216E-2</v>
      </c>
      <c r="E21" s="375">
        <f>C21/$C$6</f>
        <v>1.1757349389023546E-2</v>
      </c>
      <c r="F21" s="374">
        <f>B21-C21</f>
        <v>44170</v>
      </c>
      <c r="G21" s="376">
        <f>IFERROR(F21/ABS(C21),"n/a")</f>
        <v>1.9641586623977232</v>
      </c>
      <c r="H21" s="258"/>
      <c r="I21" s="258"/>
      <c r="J21" s="258"/>
      <c r="K21" s="258"/>
    </row>
    <row r="22" spans="1:11" ht="54.75" customHeight="1">
      <c r="A22" s="389" t="s">
        <v>504</v>
      </c>
      <c r="B22" s="390">
        <f>B20+B21</f>
        <v>-195812</v>
      </c>
      <c r="C22" s="390">
        <f>C20+C21</f>
        <v>-60728</v>
      </c>
      <c r="D22" s="391">
        <f>B22/$B$6</f>
        <v>-0.14912555937697058</v>
      </c>
      <c r="E22" s="391">
        <f>C22/$C$6</f>
        <v>-3.1750280758476607E-2</v>
      </c>
      <c r="F22" s="390">
        <f>B22-C22</f>
        <v>-135084</v>
      </c>
      <c r="G22" s="392">
        <f>IFERROR(F22/ABS(C22),"n/a")</f>
        <v>-2.2244104861019629</v>
      </c>
      <c r="H22" s="258"/>
      <c r="I22" s="258"/>
      <c r="J22" s="258"/>
      <c r="K22" s="258"/>
    </row>
    <row r="23" spans="1:11" ht="54.75" customHeight="1">
      <c r="A23" s="258"/>
      <c r="B23" s="258"/>
      <c r="C23" s="258"/>
      <c r="D23" s="258"/>
      <c r="E23" s="258"/>
      <c r="F23" s="258"/>
      <c r="G23" s="258"/>
      <c r="H23" s="258"/>
      <c r="I23" s="258"/>
      <c r="J23" s="258"/>
      <c r="K23" s="258"/>
    </row>
    <row r="24" spans="1:11" ht="54.75" customHeight="1">
      <c r="A24" s="553" t="s">
        <v>505</v>
      </c>
      <c r="B24" s="553"/>
      <c r="C24" s="553"/>
      <c r="D24" s="553"/>
      <c r="E24" s="553"/>
      <c r="F24" s="553"/>
      <c r="G24" s="553"/>
      <c r="H24" s="258"/>
      <c r="I24" s="258"/>
      <c r="J24" s="258"/>
      <c r="K24" s="258"/>
    </row>
    <row r="25" spans="1:11" ht="54.75" customHeight="1">
      <c r="A25" s="530" t="s">
        <v>506</v>
      </c>
      <c r="B25" s="530"/>
      <c r="C25" s="530"/>
      <c r="D25" s="530"/>
      <c r="E25" s="530"/>
      <c r="F25" s="530"/>
      <c r="G25" s="530"/>
      <c r="H25" s="258"/>
      <c r="I25" s="258"/>
      <c r="J25" s="258"/>
      <c r="K25" s="258"/>
    </row>
    <row r="26" spans="1:11" ht="54.75" customHeight="1">
      <c r="A26" s="530" t="s">
        <v>507</v>
      </c>
      <c r="B26" s="530"/>
      <c r="C26" s="530"/>
      <c r="D26" s="530"/>
      <c r="E26" s="530"/>
      <c r="F26" s="530"/>
      <c r="G26" s="530"/>
      <c r="H26" s="258"/>
      <c r="I26" s="258"/>
      <c r="J26" s="258"/>
      <c r="K26" s="258"/>
    </row>
    <row r="27" spans="1:11" ht="54.75" customHeight="1">
      <c r="A27" s="530" t="s">
        <v>508</v>
      </c>
      <c r="B27" s="530"/>
      <c r="C27" s="530"/>
      <c r="D27" s="530"/>
      <c r="E27" s="530"/>
      <c r="F27" s="530"/>
      <c r="G27" s="530"/>
      <c r="H27" s="258"/>
      <c r="I27" s="258"/>
      <c r="J27" s="258"/>
      <c r="K27" s="258"/>
    </row>
    <row r="28" spans="1:11" ht="54.75" customHeight="1">
      <c r="A28" s="258"/>
      <c r="B28" s="258"/>
      <c r="C28" s="258"/>
      <c r="D28" s="258"/>
      <c r="E28" s="258"/>
      <c r="F28" s="258"/>
      <c r="G28" s="258"/>
      <c r="H28" s="258"/>
      <c r="I28" s="258"/>
      <c r="J28" s="258"/>
      <c r="K28" s="258"/>
    </row>
    <row r="29" spans="1:11" ht="54.75" customHeight="1">
      <c r="A29" s="553" t="s">
        <v>509</v>
      </c>
      <c r="B29" s="553"/>
      <c r="C29" s="553"/>
      <c r="D29" s="553"/>
      <c r="E29" s="553"/>
      <c r="F29" s="553"/>
      <c r="G29" s="553"/>
      <c r="H29" s="258"/>
      <c r="I29" s="258"/>
      <c r="J29" s="258"/>
      <c r="K29" s="258"/>
    </row>
    <row r="30" spans="1:11" ht="54.75" customHeight="1">
      <c r="A30" s="530" t="s">
        <v>510</v>
      </c>
      <c r="B30" s="530"/>
      <c r="C30" s="530"/>
      <c r="D30" s="530"/>
      <c r="E30" s="530"/>
      <c r="F30" s="530"/>
      <c r="G30" s="530"/>
      <c r="H30" s="258"/>
      <c r="I30" s="258"/>
      <c r="J30" s="258"/>
      <c r="K30" s="258"/>
    </row>
    <row r="31" spans="1:11" ht="54.75" customHeight="1">
      <c r="A31" s="530" t="s">
        <v>511</v>
      </c>
      <c r="B31" s="530"/>
      <c r="C31" s="530"/>
      <c r="D31" s="530"/>
      <c r="E31" s="530"/>
      <c r="F31" s="530"/>
      <c r="G31" s="530"/>
      <c r="H31" s="258"/>
      <c r="I31" s="258"/>
      <c r="J31" s="258"/>
      <c r="K31" s="258"/>
    </row>
    <row r="32" spans="1:11" ht="54.75" customHeight="1">
      <c r="A32" s="530" t="s">
        <v>512</v>
      </c>
      <c r="B32" s="530"/>
      <c r="C32" s="530"/>
      <c r="D32" s="530"/>
      <c r="E32" s="530"/>
      <c r="F32" s="530"/>
      <c r="G32" s="530"/>
      <c r="H32" s="258"/>
      <c r="I32" s="258"/>
      <c r="J32" s="258"/>
      <c r="K32" s="258"/>
    </row>
    <row r="33" spans="1:11">
      <c r="A33" s="258"/>
      <c r="B33" s="258"/>
      <c r="C33" s="258"/>
      <c r="D33" s="258"/>
      <c r="E33" s="258"/>
      <c r="F33" s="258"/>
      <c r="G33" s="258"/>
      <c r="H33" s="258"/>
      <c r="I33" s="258"/>
      <c r="J33" s="258"/>
      <c r="K33" s="258"/>
    </row>
    <row r="34" spans="1:11">
      <c r="A34" s="553" t="s">
        <v>513</v>
      </c>
      <c r="B34" s="553"/>
      <c r="C34" s="553"/>
      <c r="D34" s="553"/>
      <c r="E34" s="553"/>
      <c r="F34" s="553"/>
      <c r="G34" s="553"/>
      <c r="H34" s="258"/>
      <c r="I34" s="258"/>
      <c r="J34" s="258"/>
      <c r="K34" s="258"/>
    </row>
    <row r="35" spans="1:11">
      <c r="A35" s="364" t="s">
        <v>405</v>
      </c>
      <c r="B35" s="365" t="s">
        <v>385</v>
      </c>
      <c r="C35" s="365" t="s">
        <v>384</v>
      </c>
      <c r="D35" s="366" t="s">
        <v>514</v>
      </c>
      <c r="E35" s="258"/>
      <c r="F35" s="258"/>
      <c r="G35" s="258"/>
      <c r="H35" s="258"/>
      <c r="I35" s="258"/>
      <c r="J35" s="258"/>
      <c r="K35" s="258"/>
    </row>
    <row r="36" spans="1:11" ht="27">
      <c r="A36" s="393" t="s">
        <v>515</v>
      </c>
      <c r="B36" s="394">
        <f>-B12-B14-B15</f>
        <v>161134</v>
      </c>
      <c r="C36" s="394">
        <f>-C12-C14-C15</f>
        <v>160082</v>
      </c>
      <c r="D36" s="538" t="s">
        <v>516</v>
      </c>
      <c r="E36" s="258"/>
      <c r="F36" s="258"/>
      <c r="G36" s="258"/>
      <c r="H36" s="258"/>
      <c r="I36" s="258"/>
      <c r="J36" s="258"/>
      <c r="K36" s="258"/>
    </row>
    <row r="37" spans="1:11" ht="27">
      <c r="A37" s="395" t="s">
        <v>517</v>
      </c>
      <c r="B37" s="396">
        <f>-B7-B9-B10</f>
        <v>1376910</v>
      </c>
      <c r="C37" s="396">
        <f>-C7-C9-C10</f>
        <v>1822853</v>
      </c>
      <c r="D37" s="539" t="s">
        <v>518</v>
      </c>
      <c r="E37" s="258"/>
      <c r="F37" s="258"/>
      <c r="G37" s="258"/>
      <c r="H37" s="258"/>
      <c r="I37" s="258"/>
      <c r="J37" s="258"/>
      <c r="K37" s="258"/>
    </row>
    <row r="38" spans="1:11" ht="27">
      <c r="A38" s="393" t="s">
        <v>519</v>
      </c>
      <c r="B38" s="398">
        <f>1-B37/B6</f>
        <v>-4.8620482716812852E-2</v>
      </c>
      <c r="C38" s="398">
        <f>1-C37/C6</f>
        <v>4.6961952782384464E-2</v>
      </c>
      <c r="D38" s="538" t="s">
        <v>520</v>
      </c>
      <c r="E38" s="258"/>
      <c r="F38" s="258"/>
      <c r="G38" s="258"/>
      <c r="H38" s="258"/>
      <c r="I38" s="258"/>
      <c r="J38" s="258"/>
      <c r="K38" s="258"/>
    </row>
    <row r="39" spans="1:11">
      <c r="A39" s="399" t="s">
        <v>521</v>
      </c>
      <c r="B39" s="400" t="str">
        <f>IF(B38&lt;=0,"n/a (margen negativo: no existe PE)",B36/B38)</f>
        <v>n/a (margen negativo: no existe PE)</v>
      </c>
      <c r="C39" s="400">
        <f>IF(C38&lt;=0,"n/a (margen negativo: no existe PE)",C36/C38)</f>
        <v>3408759.442815315</v>
      </c>
      <c r="D39" s="401" t="s">
        <v>522</v>
      </c>
      <c r="E39" s="258"/>
      <c r="F39" s="258"/>
      <c r="G39" s="258"/>
      <c r="H39" s="258"/>
      <c r="I39" s="258"/>
      <c r="J39" s="258"/>
      <c r="K39" s="258"/>
    </row>
    <row r="40" spans="1:11" ht="27">
      <c r="A40" s="402" t="s">
        <v>523</v>
      </c>
      <c r="B40" s="403" t="str">
        <f>IF(ISNUMBER(B39),B6/B39,"n/a")</f>
        <v>n/a</v>
      </c>
      <c r="C40" s="403">
        <f>IF(ISNUMBER(C39),C6/C39,"n/a")</f>
        <v>0.56110618308117088</v>
      </c>
      <c r="D40" s="540" t="s">
        <v>524</v>
      </c>
      <c r="E40" s="258"/>
      <c r="F40" s="258"/>
      <c r="G40" s="258"/>
      <c r="H40" s="258"/>
      <c r="I40" s="258"/>
      <c r="J40" s="258"/>
      <c r="K40" s="258"/>
    </row>
    <row r="41" spans="1:11">
      <c r="A41" s="258"/>
      <c r="B41" s="258"/>
      <c r="C41" s="258"/>
      <c r="D41" s="258"/>
      <c r="E41" s="258"/>
      <c r="F41" s="258"/>
      <c r="G41" s="258"/>
      <c r="H41" s="258"/>
      <c r="I41" s="258"/>
      <c r="J41" s="258"/>
      <c r="K41" s="258"/>
    </row>
    <row r="42" spans="1:11">
      <c r="A42" s="554" t="s">
        <v>525</v>
      </c>
      <c r="B42" s="554"/>
      <c r="C42" s="554"/>
      <c r="D42" s="554"/>
      <c r="E42" s="554"/>
      <c r="F42" s="554"/>
      <c r="G42" s="554"/>
      <c r="H42" s="258"/>
      <c r="I42" s="258"/>
      <c r="J42" s="258"/>
      <c r="K42" s="258"/>
    </row>
    <row r="43" spans="1:11" ht="54.75" customHeight="1">
      <c r="A43" s="530" t="s">
        <v>526</v>
      </c>
      <c r="B43" s="530"/>
      <c r="C43" s="530"/>
      <c r="D43" s="530"/>
      <c r="E43" s="530"/>
      <c r="F43" s="530"/>
      <c r="G43" s="530"/>
      <c r="H43" s="258"/>
      <c r="I43" s="258"/>
      <c r="J43" s="258"/>
      <c r="K43" s="258"/>
    </row>
    <row r="44" spans="1:11" ht="54.75" customHeight="1">
      <c r="A44" s="530" t="s">
        <v>527</v>
      </c>
      <c r="B44" s="530"/>
      <c r="C44" s="530"/>
      <c r="D44" s="530"/>
      <c r="E44" s="530"/>
      <c r="F44" s="530"/>
      <c r="G44" s="530"/>
      <c r="H44" s="258"/>
      <c r="I44" s="258"/>
      <c r="J44" s="258"/>
      <c r="K44" s="258"/>
    </row>
    <row r="45" spans="1:11">
      <c r="A45" s="258"/>
      <c r="B45" s="258"/>
      <c r="C45" s="258"/>
      <c r="D45" s="258"/>
      <c r="E45" s="258"/>
      <c r="F45" s="258"/>
      <c r="G45" s="258"/>
      <c r="H45" s="258"/>
      <c r="I45" s="258"/>
      <c r="J45" s="258"/>
      <c r="K45" s="258"/>
    </row>
    <row r="46" spans="1:11">
      <c r="A46" s="258"/>
      <c r="B46" s="258"/>
      <c r="C46" s="258"/>
      <c r="D46" s="258"/>
      <c r="E46" s="258"/>
      <c r="F46" s="258"/>
      <c r="G46" s="258"/>
      <c r="H46" s="258"/>
      <c r="I46" s="258"/>
      <c r="J46" s="258"/>
      <c r="K46" s="258"/>
    </row>
    <row r="47" spans="1:11">
      <c r="A47" s="258"/>
      <c r="B47" s="258"/>
      <c r="C47" s="258"/>
      <c r="D47" s="258"/>
      <c r="E47" s="258"/>
      <c r="F47" s="258"/>
      <c r="G47" s="258"/>
      <c r="H47" s="258"/>
      <c r="I47" s="258"/>
      <c r="J47" s="258"/>
      <c r="K47" s="258"/>
    </row>
    <row r="48" spans="1:11">
      <c r="A48" s="553" t="s">
        <v>528</v>
      </c>
      <c r="B48" s="553"/>
      <c r="C48" s="553"/>
      <c r="D48" s="553"/>
      <c r="E48" s="553"/>
      <c r="F48" s="553"/>
      <c r="G48" s="553"/>
      <c r="H48" s="258"/>
      <c r="I48" s="258"/>
      <c r="J48" s="258"/>
      <c r="K48" s="258"/>
    </row>
    <row r="49" spans="1:11">
      <c r="A49" s="258"/>
      <c r="B49" s="258"/>
      <c r="C49" s="258"/>
      <c r="D49" s="258"/>
      <c r="E49" s="258"/>
      <c r="F49" s="258"/>
      <c r="G49" s="258"/>
      <c r="H49" s="258"/>
      <c r="I49" s="258"/>
      <c r="J49" s="258"/>
      <c r="K49" s="258"/>
    </row>
    <row r="50" spans="1:11">
      <c r="A50" s="364" t="s">
        <v>529</v>
      </c>
      <c r="B50" s="365">
        <v>2023</v>
      </c>
      <c r="C50" s="366">
        <v>2022</v>
      </c>
      <c r="D50" s="258"/>
      <c r="E50" s="258"/>
      <c r="F50" s="258"/>
      <c r="G50" s="258"/>
      <c r="H50" s="258"/>
      <c r="I50" s="258"/>
      <c r="J50" s="258"/>
      <c r="K50" s="258"/>
    </row>
    <row r="51" spans="1:11">
      <c r="A51" s="393" t="s">
        <v>530</v>
      </c>
      <c r="B51" s="394">
        <f>B6</f>
        <v>1313068</v>
      </c>
      <c r="C51" s="404">
        <f>C6</f>
        <v>1912676</v>
      </c>
      <c r="D51" s="258"/>
      <c r="E51" s="258"/>
      <c r="F51" s="258"/>
      <c r="G51" s="258"/>
      <c r="H51" s="258"/>
      <c r="I51" s="258"/>
      <c r="J51" s="258"/>
      <c r="K51" s="258"/>
    </row>
    <row r="52" spans="1:11">
      <c r="A52" s="395" t="s">
        <v>531</v>
      </c>
      <c r="B52" s="396">
        <f>B16</f>
        <v>-224976</v>
      </c>
      <c r="C52" s="405">
        <f>C16</f>
        <v>-70259</v>
      </c>
      <c r="D52" s="258"/>
      <c r="E52" s="258"/>
      <c r="F52" s="258"/>
      <c r="G52" s="258"/>
      <c r="H52" s="258"/>
      <c r="I52" s="258"/>
      <c r="J52" s="258"/>
      <c r="K52" s="258"/>
    </row>
    <row r="53" spans="1:11">
      <c r="A53" s="393" t="s">
        <v>532</v>
      </c>
      <c r="B53" s="394">
        <f>B20</f>
        <v>-262470</v>
      </c>
      <c r="C53" s="404">
        <f>C20</f>
        <v>-83216</v>
      </c>
      <c r="D53" s="258"/>
      <c r="E53" s="258"/>
      <c r="F53" s="258"/>
      <c r="G53" s="258"/>
      <c r="H53" s="258"/>
      <c r="I53" s="258"/>
      <c r="J53" s="258"/>
      <c r="K53" s="258"/>
    </row>
    <row r="54" spans="1:11">
      <c r="A54" s="395" t="s">
        <v>533</v>
      </c>
      <c r="B54" s="396">
        <f>B22</f>
        <v>-195812</v>
      </c>
      <c r="C54" s="405">
        <f>C22</f>
        <v>-60728</v>
      </c>
      <c r="D54" s="258"/>
      <c r="E54" s="258"/>
      <c r="F54" s="258"/>
      <c r="G54" s="258"/>
      <c r="H54" s="258"/>
      <c r="I54" s="258"/>
      <c r="J54" s="258"/>
      <c r="K54" s="258"/>
    </row>
    <row r="55" spans="1:11">
      <c r="A55" s="393" t="s">
        <v>534</v>
      </c>
      <c r="B55" s="394">
        <f>'BALANCE DE SITUACIÓN'!C79</f>
        <v>1142438</v>
      </c>
      <c r="C55" s="404">
        <f>'BALANCE DE SITUACIÓN'!D79</f>
        <v>1193913</v>
      </c>
      <c r="D55" s="258"/>
      <c r="E55" s="258"/>
      <c r="F55" s="258"/>
      <c r="G55" s="258"/>
      <c r="H55" s="258"/>
      <c r="I55" s="258"/>
      <c r="J55" s="258"/>
      <c r="K55" s="258"/>
    </row>
    <row r="56" spans="1:11">
      <c r="A56" s="395" t="s">
        <v>535</v>
      </c>
      <c r="B56" s="396">
        <f>'BALANCE DE SITUACIÓN'!C84</f>
        <v>53265</v>
      </c>
      <c r="C56" s="405">
        <f>'BALANCE DE SITUACIÓN'!D84</f>
        <v>242867</v>
      </c>
      <c r="D56" s="258"/>
      <c r="E56" s="258"/>
      <c r="F56" s="258"/>
      <c r="G56" s="258"/>
      <c r="H56" s="258"/>
      <c r="I56" s="258"/>
      <c r="J56" s="258"/>
      <c r="K56" s="258"/>
    </row>
    <row r="57" spans="1:11">
      <c r="A57" s="393" t="s">
        <v>536</v>
      </c>
      <c r="B57" s="394">
        <f>B55-B56</f>
        <v>1089173</v>
      </c>
      <c r="C57" s="404">
        <f>C55-C56</f>
        <v>951046</v>
      </c>
      <c r="D57" s="258"/>
      <c r="E57" s="258"/>
      <c r="F57" s="258"/>
      <c r="G57" s="258"/>
      <c r="H57" s="258"/>
      <c r="I57" s="258"/>
      <c r="J57" s="258"/>
      <c r="K57" s="258"/>
    </row>
    <row r="58" spans="1:11">
      <c r="A58" s="406" t="s">
        <v>537</v>
      </c>
      <c r="B58" s="407">
        <f>-B18</f>
        <v>39155</v>
      </c>
      <c r="C58" s="408">
        <f>-C18</f>
        <v>16235</v>
      </c>
      <c r="D58" s="258"/>
      <c r="E58" s="258"/>
      <c r="F58" s="258"/>
      <c r="G58" s="258"/>
      <c r="H58" s="258"/>
      <c r="I58" s="258"/>
      <c r="J58" s="258"/>
      <c r="K58" s="258"/>
    </row>
    <row r="59" spans="1:11">
      <c r="A59" s="258"/>
      <c r="B59" s="258"/>
      <c r="C59" s="258"/>
      <c r="D59" s="258"/>
      <c r="E59" s="258"/>
      <c r="F59" s="258"/>
      <c r="G59" s="258"/>
      <c r="H59" s="258"/>
      <c r="I59" s="258"/>
      <c r="J59" s="258"/>
      <c r="K59" s="258"/>
    </row>
    <row r="60" spans="1:11">
      <c r="A60" s="555" t="s">
        <v>538</v>
      </c>
      <c r="B60" s="555"/>
      <c r="C60" s="555"/>
      <c r="D60" s="555"/>
      <c r="E60" s="555"/>
      <c r="F60" s="555"/>
      <c r="G60" s="555"/>
      <c r="H60" s="258"/>
      <c r="I60" s="258"/>
      <c r="J60" s="258"/>
      <c r="K60" s="258"/>
    </row>
    <row r="61" spans="1:11">
      <c r="A61" s="556" t="s">
        <v>539</v>
      </c>
      <c r="B61" s="556"/>
      <c r="C61" s="556"/>
      <c r="D61" s="556"/>
      <c r="E61" s="556"/>
      <c r="F61" s="556"/>
      <c r="G61" s="556"/>
      <c r="H61" s="258"/>
      <c r="I61" s="258"/>
      <c r="J61" s="258"/>
      <c r="K61" s="258"/>
    </row>
    <row r="62" spans="1:11">
      <c r="A62" s="364" t="s">
        <v>405</v>
      </c>
      <c r="B62" s="365">
        <v>2023</v>
      </c>
      <c r="C62" s="365">
        <v>2022</v>
      </c>
      <c r="D62" s="366" t="s">
        <v>540</v>
      </c>
      <c r="E62" s="258"/>
      <c r="F62" s="258"/>
      <c r="G62" s="258"/>
      <c r="H62" s="258"/>
      <c r="I62" s="258"/>
      <c r="J62" s="258"/>
      <c r="K62" s="258"/>
    </row>
    <row r="63" spans="1:11">
      <c r="A63" s="393" t="s">
        <v>541</v>
      </c>
      <c r="B63" s="409">
        <f>B51/B55</f>
        <v>1.1493560263226539</v>
      </c>
      <c r="C63" s="409">
        <f>C51/C55</f>
        <v>1.6020229279687883</v>
      </c>
      <c r="D63" s="410" t="s">
        <v>542</v>
      </c>
      <c r="E63" s="258"/>
      <c r="F63" s="258"/>
      <c r="G63" s="258"/>
      <c r="H63" s="258"/>
      <c r="I63" s="258"/>
      <c r="J63" s="258"/>
      <c r="K63" s="258"/>
    </row>
    <row r="64" spans="1:11">
      <c r="A64" s="395" t="s">
        <v>543</v>
      </c>
      <c r="B64" s="411">
        <f>B52/B51</f>
        <v>-0.17133613796086722</v>
      </c>
      <c r="C64" s="411">
        <f>C52/C51</f>
        <v>-3.6733351597447762E-2</v>
      </c>
      <c r="D64" s="412" t="s">
        <v>544</v>
      </c>
      <c r="E64" s="258"/>
      <c r="F64" s="258"/>
      <c r="G64" s="258"/>
      <c r="H64" s="258"/>
      <c r="I64" s="258"/>
      <c r="J64" s="258"/>
      <c r="K64" s="258"/>
    </row>
    <row r="65" spans="1:11">
      <c r="A65" s="413" t="s">
        <v>545</v>
      </c>
      <c r="B65" s="414">
        <f>B63*B64</f>
        <v>-0.19692622269217236</v>
      </c>
      <c r="C65" s="414">
        <f>C63*C64</f>
        <v>-5.8847671480250233E-2</v>
      </c>
      <c r="D65" s="415" t="s">
        <v>546</v>
      </c>
      <c r="E65" s="258"/>
      <c r="F65" s="258"/>
      <c r="G65" s="258"/>
      <c r="H65" s="258"/>
      <c r="I65" s="258"/>
      <c r="J65" s="258"/>
      <c r="K65" s="258"/>
    </row>
    <row r="66" spans="1:11">
      <c r="A66" s="416" t="s">
        <v>547</v>
      </c>
      <c r="B66" s="417">
        <f>B52/B55</f>
        <v>-0.19692622269217236</v>
      </c>
      <c r="C66" s="417">
        <f>C52/C55</f>
        <v>-5.8847671480250233E-2</v>
      </c>
      <c r="D66" s="368"/>
      <c r="E66" s="258"/>
      <c r="F66" s="258"/>
      <c r="G66" s="258"/>
      <c r="H66" s="258"/>
      <c r="I66" s="258"/>
      <c r="J66" s="258"/>
      <c r="K66" s="258"/>
    </row>
    <row r="67" spans="1:11">
      <c r="A67" s="258"/>
      <c r="B67" s="258"/>
      <c r="C67" s="258"/>
      <c r="D67" s="258"/>
      <c r="E67" s="258"/>
      <c r="F67" s="258"/>
      <c r="G67" s="258"/>
      <c r="H67" s="258"/>
      <c r="I67" s="258"/>
      <c r="J67" s="258"/>
      <c r="K67" s="258"/>
    </row>
    <row r="68" spans="1:11">
      <c r="A68" s="555" t="s">
        <v>548</v>
      </c>
      <c r="B68" s="555"/>
      <c r="C68" s="555"/>
      <c r="D68" s="555"/>
      <c r="E68" s="555"/>
      <c r="F68" s="555"/>
      <c r="G68" s="555"/>
      <c r="H68" s="258"/>
      <c r="I68" s="258"/>
      <c r="J68" s="258"/>
      <c r="K68" s="258"/>
    </row>
    <row r="69" spans="1:11">
      <c r="A69" s="556" t="s">
        <v>549</v>
      </c>
      <c r="B69" s="556"/>
      <c r="C69" s="556"/>
      <c r="D69" s="556"/>
      <c r="E69" s="556"/>
      <c r="F69" s="556"/>
      <c r="G69" s="556"/>
      <c r="H69" s="258"/>
      <c r="I69" s="258"/>
      <c r="J69" s="258"/>
      <c r="K69" s="258"/>
    </row>
    <row r="70" spans="1:11">
      <c r="A70" s="364" t="s">
        <v>405</v>
      </c>
      <c r="B70" s="365">
        <v>2023</v>
      </c>
      <c r="C70" s="365">
        <v>2022</v>
      </c>
      <c r="D70" s="366" t="s">
        <v>540</v>
      </c>
      <c r="E70" s="258"/>
      <c r="F70" s="258"/>
      <c r="G70" s="258"/>
      <c r="H70" s="258"/>
      <c r="I70" s="258"/>
      <c r="J70" s="258"/>
      <c r="K70" s="258"/>
    </row>
    <row r="71" spans="1:11">
      <c r="A71" s="393" t="s">
        <v>550</v>
      </c>
      <c r="B71" s="409">
        <f>B51/B55</f>
        <v>1.1493560263226539</v>
      </c>
      <c r="C71" s="409">
        <f>C51/C55</f>
        <v>1.6020229279687883</v>
      </c>
      <c r="D71" s="410" t="s">
        <v>551</v>
      </c>
      <c r="E71" s="258"/>
      <c r="F71" s="258"/>
      <c r="G71" s="258"/>
      <c r="H71" s="258"/>
      <c r="I71" s="258"/>
      <c r="J71" s="258"/>
      <c r="K71" s="258"/>
    </row>
    <row r="72" spans="1:11">
      <c r="A72" s="395" t="s">
        <v>552</v>
      </c>
      <c r="B72" s="411">
        <f>B52/B51</f>
        <v>-0.17133613796086722</v>
      </c>
      <c r="C72" s="411">
        <f>C52/C51</f>
        <v>-3.6733351597447762E-2</v>
      </c>
      <c r="D72" s="412" t="s">
        <v>544</v>
      </c>
      <c r="E72" s="258"/>
      <c r="F72" s="258"/>
      <c r="G72" s="258"/>
      <c r="H72" s="258"/>
      <c r="I72" s="258"/>
      <c r="J72" s="258"/>
      <c r="K72" s="258"/>
    </row>
    <row r="73" spans="1:11">
      <c r="A73" s="393" t="s">
        <v>553</v>
      </c>
      <c r="B73" s="409">
        <f>B55/B56</f>
        <v>21.448192997277761</v>
      </c>
      <c r="C73" s="409">
        <f>C55/C56</f>
        <v>4.9159128247147619</v>
      </c>
      <c r="D73" s="410" t="s">
        <v>554</v>
      </c>
      <c r="E73" s="258"/>
      <c r="F73" s="258"/>
      <c r="G73" s="258"/>
      <c r="H73" s="258"/>
      <c r="I73" s="258"/>
      <c r="J73" s="258"/>
      <c r="K73" s="258"/>
    </row>
    <row r="74" spans="1:11">
      <c r="A74" s="395" t="s">
        <v>555</v>
      </c>
      <c r="B74" s="418">
        <f>B53/B52</f>
        <v>1.1666577768295285</v>
      </c>
      <c r="C74" s="418">
        <f>C53/C52</f>
        <v>1.1844176546776926</v>
      </c>
      <c r="D74" s="412" t="s">
        <v>556</v>
      </c>
      <c r="E74" s="258"/>
      <c r="F74" s="258"/>
      <c r="G74" s="258"/>
      <c r="H74" s="258"/>
      <c r="I74" s="258"/>
      <c r="J74" s="258"/>
      <c r="K74" s="258"/>
    </row>
    <row r="75" spans="1:11">
      <c r="A75" s="393" t="s">
        <v>557</v>
      </c>
      <c r="B75" s="409">
        <f>B73*B74</f>
        <v>25.022701159214737</v>
      </c>
      <c r="C75" s="409">
        <f>C73*C74</f>
        <v>5.8224939384486492</v>
      </c>
      <c r="D75" s="410" t="s">
        <v>558</v>
      </c>
      <c r="E75" s="258"/>
      <c r="F75" s="258"/>
      <c r="G75" s="258"/>
      <c r="H75" s="258"/>
      <c r="I75" s="258"/>
      <c r="J75" s="258"/>
      <c r="K75" s="258"/>
    </row>
    <row r="76" spans="1:11">
      <c r="A76" s="395" t="s">
        <v>559</v>
      </c>
      <c r="B76" s="418">
        <f>B54/B53</f>
        <v>0.74603573741760965</v>
      </c>
      <c r="C76" s="418">
        <f>C54/C53</f>
        <v>0.72976350701788117</v>
      </c>
      <c r="D76" s="412" t="s">
        <v>560</v>
      </c>
      <c r="E76" s="258"/>
      <c r="F76" s="258"/>
      <c r="G76" s="258"/>
      <c r="H76" s="258"/>
      <c r="I76" s="258"/>
      <c r="J76" s="258"/>
      <c r="K76" s="258"/>
    </row>
    <row r="77" spans="1:11">
      <c r="A77" s="413" t="s">
        <v>561</v>
      </c>
      <c r="B77" s="414">
        <f>B71*B72*B73*B74*B76</f>
        <v>-3.6761851121749745</v>
      </c>
      <c r="C77" s="414">
        <f>C71*C72*C73*C74*C76</f>
        <v>-0.25004632164929774</v>
      </c>
      <c r="D77" s="415" t="s">
        <v>562</v>
      </c>
      <c r="E77" s="258"/>
      <c r="F77" s="258"/>
      <c r="G77" s="258"/>
      <c r="H77" s="258"/>
      <c r="I77" s="258"/>
      <c r="J77" s="258"/>
      <c r="K77" s="258"/>
    </row>
    <row r="78" spans="1:11">
      <c r="A78" s="416" t="s">
        <v>563</v>
      </c>
      <c r="B78" s="417">
        <f>B54/B56</f>
        <v>-3.676185112174974</v>
      </c>
      <c r="C78" s="417">
        <f>C54/C56</f>
        <v>-0.25004632164929774</v>
      </c>
      <c r="D78" s="368"/>
      <c r="E78" s="258"/>
      <c r="F78" s="258"/>
      <c r="G78" s="258"/>
      <c r="H78" s="258"/>
      <c r="I78" s="258"/>
      <c r="J78" s="258"/>
      <c r="K78" s="258"/>
    </row>
    <row r="79" spans="1:11">
      <c r="A79" s="258"/>
      <c r="B79" s="258"/>
      <c r="C79" s="258"/>
      <c r="D79" s="258"/>
      <c r="E79" s="258"/>
      <c r="F79" s="258"/>
      <c r="G79" s="258"/>
      <c r="H79" s="258"/>
      <c r="I79" s="258"/>
      <c r="J79" s="258"/>
      <c r="K79" s="258"/>
    </row>
    <row r="80" spans="1:11">
      <c r="A80" s="555" t="s">
        <v>564</v>
      </c>
      <c r="B80" s="555"/>
      <c r="C80" s="555"/>
      <c r="D80" s="555"/>
      <c r="E80" s="555"/>
      <c r="F80" s="555"/>
      <c r="G80" s="555"/>
      <c r="H80" s="258"/>
      <c r="I80" s="258"/>
      <c r="J80" s="258"/>
      <c r="K80" s="258"/>
    </row>
    <row r="81" spans="1:11">
      <c r="A81" s="364" t="s">
        <v>405</v>
      </c>
      <c r="B81" s="365">
        <v>2023</v>
      </c>
      <c r="C81" s="365">
        <v>2022</v>
      </c>
      <c r="D81" s="366" t="s">
        <v>565</v>
      </c>
      <c r="E81" s="258"/>
      <c r="F81" s="258"/>
      <c r="G81" s="258"/>
      <c r="H81" s="258"/>
      <c r="I81" s="258"/>
      <c r="J81" s="258"/>
      <c r="K81" s="258"/>
    </row>
    <row r="82" spans="1:11">
      <c r="A82" s="393" t="s">
        <v>566</v>
      </c>
      <c r="B82" s="398">
        <f>B65</f>
        <v>-0.19692622269217236</v>
      </c>
      <c r="C82" s="398">
        <f>C65</f>
        <v>-5.8847671480250233E-2</v>
      </c>
      <c r="D82" s="367" t="s">
        <v>567</v>
      </c>
      <c r="E82" s="258"/>
      <c r="F82" s="258"/>
      <c r="G82" s="258"/>
      <c r="H82" s="258"/>
      <c r="I82" s="258"/>
      <c r="J82" s="258"/>
      <c r="K82" s="258"/>
    </row>
    <row r="83" spans="1:11">
      <c r="A83" s="395" t="s">
        <v>568</v>
      </c>
      <c r="B83" s="411">
        <f>B58/B57</f>
        <v>3.5949293638384353E-2</v>
      </c>
      <c r="C83" s="411">
        <f>C58/C57</f>
        <v>1.707067796930958E-2</v>
      </c>
      <c r="D83" s="397" t="s">
        <v>569</v>
      </c>
      <c r="E83" s="258"/>
      <c r="F83" s="258"/>
      <c r="G83" s="258"/>
      <c r="H83" s="258"/>
      <c r="I83" s="258"/>
      <c r="J83" s="258"/>
      <c r="K83" s="258"/>
    </row>
    <row r="84" spans="1:11">
      <c r="A84" s="393" t="s">
        <v>570</v>
      </c>
      <c r="B84" s="398">
        <f>B82-B83</f>
        <v>-0.2328755163305567</v>
      </c>
      <c r="C84" s="398">
        <f>C82-C83</f>
        <v>-7.5918349449559816E-2</v>
      </c>
      <c r="D84" s="367" t="s">
        <v>571</v>
      </c>
      <c r="E84" s="258"/>
      <c r="F84" s="258"/>
      <c r="G84" s="258"/>
      <c r="H84" s="258"/>
      <c r="I84" s="258"/>
      <c r="J84" s="258"/>
      <c r="K84" s="258"/>
    </row>
    <row r="85" spans="1:11">
      <c r="A85" s="419" t="s">
        <v>572</v>
      </c>
      <c r="B85" s="420">
        <f>B75</f>
        <v>25.022701159214737</v>
      </c>
      <c r="C85" s="420">
        <f>C75</f>
        <v>5.8224939384486492</v>
      </c>
      <c r="D85" s="368" t="s">
        <v>573</v>
      </c>
      <c r="E85" s="258"/>
      <c r="F85" s="258"/>
      <c r="G85" s="258"/>
      <c r="H85" s="258"/>
      <c r="I85" s="258"/>
      <c r="J85" s="258"/>
      <c r="K85" s="258"/>
    </row>
    <row r="86" spans="1:11">
      <c r="A86" s="258"/>
      <c r="B86" s="258"/>
      <c r="C86" s="258"/>
      <c r="D86" s="258"/>
      <c r="E86" s="258"/>
      <c r="F86" s="258"/>
      <c r="G86" s="258"/>
      <c r="H86" s="258"/>
      <c r="I86" s="258"/>
      <c r="J86" s="258"/>
      <c r="K86" s="258"/>
    </row>
    <row r="87" spans="1:11">
      <c r="A87" s="553" t="s">
        <v>574</v>
      </c>
      <c r="B87" s="553"/>
      <c r="C87" s="553"/>
      <c r="D87" s="553"/>
      <c r="E87" s="553"/>
      <c r="F87" s="553"/>
      <c r="G87" s="553"/>
      <c r="H87" s="258"/>
      <c r="I87" s="258"/>
      <c r="J87" s="258"/>
      <c r="K87" s="258"/>
    </row>
    <row r="88" spans="1:11" ht="60" customHeight="1">
      <c r="A88" s="530" t="s">
        <v>575</v>
      </c>
      <c r="B88" s="530"/>
      <c r="C88" s="530"/>
      <c r="D88" s="530"/>
      <c r="E88" s="530"/>
      <c r="F88" s="530"/>
      <c r="G88" s="530"/>
      <c r="H88" s="258"/>
      <c r="I88" s="258"/>
      <c r="J88" s="258"/>
      <c r="K88" s="258"/>
    </row>
    <row r="89" spans="1:11" ht="60" customHeight="1">
      <c r="A89" s="530" t="s">
        <v>576</v>
      </c>
      <c r="B89" s="530"/>
      <c r="C89" s="530"/>
      <c r="D89" s="530"/>
      <c r="E89" s="530"/>
      <c r="F89" s="530"/>
      <c r="G89" s="530"/>
      <c r="H89" s="258"/>
      <c r="I89" s="258"/>
      <c r="J89" s="258"/>
      <c r="K89" s="258"/>
    </row>
    <row r="90" spans="1:11" ht="60" customHeight="1">
      <c r="A90" s="530" t="s">
        <v>577</v>
      </c>
      <c r="B90" s="530"/>
      <c r="C90" s="530"/>
      <c r="D90" s="530"/>
      <c r="E90" s="530"/>
      <c r="F90" s="530"/>
      <c r="G90" s="530"/>
      <c r="H90" s="258"/>
      <c r="I90" s="258"/>
      <c r="J90" s="258"/>
      <c r="K90" s="258"/>
    </row>
    <row r="91" spans="1:11" ht="60" customHeight="1">
      <c r="A91" s="530" t="s">
        <v>578</v>
      </c>
      <c r="B91" s="530"/>
      <c r="C91" s="530"/>
      <c r="D91" s="530"/>
      <c r="E91" s="530"/>
      <c r="F91" s="530"/>
      <c r="G91" s="530"/>
      <c r="H91" s="258"/>
      <c r="I91" s="258"/>
      <c r="J91" s="258"/>
      <c r="K91" s="258"/>
    </row>
    <row r="92" spans="1:11">
      <c r="A92" s="258"/>
      <c r="B92" s="258"/>
      <c r="C92" s="258"/>
      <c r="D92" s="258"/>
      <c r="E92" s="258"/>
      <c r="F92" s="258"/>
      <c r="G92" s="258"/>
      <c r="H92" s="258"/>
      <c r="I92" s="258"/>
      <c r="J92" s="258"/>
      <c r="K92" s="258"/>
    </row>
    <row r="93" spans="1:11">
      <c r="A93" s="553" t="s">
        <v>579</v>
      </c>
      <c r="B93" s="553"/>
      <c r="C93" s="553"/>
      <c r="D93" s="553"/>
      <c r="E93" s="553"/>
      <c r="F93" s="553"/>
      <c r="G93" s="553"/>
      <c r="H93" s="258"/>
      <c r="I93" s="258"/>
      <c r="J93" s="258"/>
      <c r="K93" s="258"/>
    </row>
    <row r="94" spans="1:11">
      <c r="A94" s="364" t="s">
        <v>405</v>
      </c>
      <c r="B94" s="365">
        <v>2023</v>
      </c>
      <c r="C94" s="365">
        <v>2022</v>
      </c>
      <c r="D94" s="366" t="s">
        <v>580</v>
      </c>
      <c r="E94" s="258"/>
      <c r="F94" s="258"/>
      <c r="G94" s="258"/>
      <c r="H94" s="258"/>
      <c r="I94" s="258"/>
      <c r="J94" s="258"/>
      <c r="K94" s="258"/>
    </row>
    <row r="95" spans="1:11" ht="40.5">
      <c r="A95" s="393" t="s">
        <v>581</v>
      </c>
      <c r="B95" s="421">
        <f>B73</f>
        <v>21.448192997277761</v>
      </c>
      <c r="C95" s="421">
        <f>C73</f>
        <v>4.9159128247147619</v>
      </c>
      <c r="D95" s="538" t="s">
        <v>582</v>
      </c>
      <c r="E95" s="258"/>
      <c r="F95" s="258"/>
      <c r="G95" s="258"/>
      <c r="H95" s="258"/>
      <c r="I95" s="258"/>
      <c r="J95" s="258"/>
      <c r="K95" s="258"/>
    </row>
    <row r="96" spans="1:11" ht="40.5">
      <c r="A96" s="395" t="s">
        <v>556</v>
      </c>
      <c r="B96" s="422">
        <f>B74</f>
        <v>1.1666577768295285</v>
      </c>
      <c r="C96" s="422">
        <f>C74</f>
        <v>1.1844176546776926</v>
      </c>
      <c r="D96" s="539" t="s">
        <v>583</v>
      </c>
      <c r="E96" s="258"/>
      <c r="F96" s="258"/>
      <c r="G96" s="258"/>
      <c r="H96" s="258"/>
      <c r="I96" s="258"/>
      <c r="J96" s="258"/>
      <c r="K96" s="258"/>
    </row>
    <row r="97" spans="1:11" ht="27">
      <c r="A97" s="423" t="s">
        <v>584</v>
      </c>
      <c r="B97" s="424">
        <f>B95*B96</f>
        <v>25.022701159214737</v>
      </c>
      <c r="C97" s="424">
        <f>C95*C96</f>
        <v>5.8224939384486492</v>
      </c>
      <c r="D97" s="541" t="s">
        <v>585</v>
      </c>
      <c r="E97" s="258"/>
      <c r="F97" s="258"/>
      <c r="G97" s="258"/>
      <c r="H97" s="258"/>
      <c r="I97" s="258"/>
      <c r="J97" s="258"/>
      <c r="K97" s="258"/>
    </row>
    <row r="98" spans="1:11">
      <c r="A98" s="258"/>
      <c r="B98" s="258"/>
      <c r="C98" s="258"/>
      <c r="D98" s="258"/>
      <c r="E98" s="258"/>
      <c r="F98" s="258"/>
      <c r="G98" s="258"/>
      <c r="H98" s="258"/>
      <c r="I98" s="258"/>
      <c r="J98" s="258"/>
      <c r="K98" s="258"/>
    </row>
    <row r="99" spans="1:11">
      <c r="A99" s="553" t="s">
        <v>586</v>
      </c>
      <c r="B99" s="553"/>
      <c r="C99" s="553"/>
      <c r="D99" s="553"/>
      <c r="E99" s="553"/>
      <c r="F99" s="553"/>
      <c r="G99" s="553"/>
      <c r="H99" s="258"/>
      <c r="I99" s="258"/>
      <c r="J99" s="258"/>
      <c r="K99" s="258"/>
    </row>
    <row r="100" spans="1:11">
      <c r="A100" s="364" t="s">
        <v>587</v>
      </c>
      <c r="B100" s="365" t="s">
        <v>588</v>
      </c>
      <c r="C100" s="365" t="s">
        <v>589</v>
      </c>
      <c r="D100" s="366" t="s">
        <v>590</v>
      </c>
      <c r="E100" s="258"/>
      <c r="F100" s="258"/>
      <c r="G100" s="258"/>
      <c r="H100" s="258"/>
      <c r="I100" s="258"/>
      <c r="J100" s="258"/>
      <c r="K100" s="258"/>
    </row>
    <row r="101" spans="1:11">
      <c r="A101" s="393" t="s">
        <v>591</v>
      </c>
      <c r="B101" s="425">
        <v>0.03</v>
      </c>
      <c r="C101" s="426" t="s">
        <v>592</v>
      </c>
      <c r="D101" s="367" t="s">
        <v>593</v>
      </c>
      <c r="E101" s="258"/>
      <c r="F101" s="258"/>
      <c r="G101" s="258"/>
      <c r="H101" s="258"/>
      <c r="I101" s="258"/>
      <c r="J101" s="258"/>
      <c r="K101" s="258"/>
    </row>
    <row r="102" spans="1:11">
      <c r="A102" s="395" t="s">
        <v>594</v>
      </c>
      <c r="B102" s="427">
        <v>3.5000000000000003E-2</v>
      </c>
      <c r="C102" s="428" t="s">
        <v>595</v>
      </c>
      <c r="D102" s="397" t="s">
        <v>593</v>
      </c>
      <c r="E102" s="258"/>
      <c r="F102" s="258"/>
      <c r="G102" s="258"/>
      <c r="H102" s="258"/>
      <c r="I102" s="258"/>
      <c r="J102" s="258"/>
      <c r="K102" s="258"/>
    </row>
    <row r="103" spans="1:11" ht="27">
      <c r="A103" s="393" t="s">
        <v>596</v>
      </c>
      <c r="B103" s="425">
        <v>5.3999999999999999E-2</v>
      </c>
      <c r="C103" s="426" t="s">
        <v>597</v>
      </c>
      <c r="D103" s="538" t="s">
        <v>598</v>
      </c>
      <c r="E103" s="258"/>
      <c r="F103" s="258"/>
      <c r="G103" s="258"/>
      <c r="H103" s="258"/>
      <c r="I103" s="258"/>
      <c r="J103" s="258"/>
      <c r="K103" s="258"/>
    </row>
    <row r="104" spans="1:11">
      <c r="A104" s="395" t="s">
        <v>599</v>
      </c>
      <c r="B104" s="427">
        <v>0.08</v>
      </c>
      <c r="C104" s="428" t="s">
        <v>600</v>
      </c>
      <c r="D104" s="397" t="s">
        <v>593</v>
      </c>
      <c r="E104" s="258"/>
      <c r="F104" s="258"/>
      <c r="G104" s="258"/>
      <c r="H104" s="258"/>
      <c r="I104" s="258"/>
      <c r="J104" s="258"/>
      <c r="K104" s="258"/>
    </row>
    <row r="105" spans="1:11">
      <c r="A105" s="393" t="s">
        <v>601</v>
      </c>
      <c r="B105" s="425">
        <v>0.1</v>
      </c>
      <c r="C105" s="426" t="s">
        <v>602</v>
      </c>
      <c r="D105" s="367" t="s">
        <v>593</v>
      </c>
      <c r="E105" s="258"/>
      <c r="F105" s="258"/>
      <c r="G105" s="258"/>
      <c r="H105" s="258"/>
      <c r="I105" s="258"/>
      <c r="J105" s="258"/>
      <c r="K105" s="258"/>
    </row>
    <row r="106" spans="1:11">
      <c r="A106" s="429" t="s">
        <v>603</v>
      </c>
      <c r="B106" s="430">
        <f>B77</f>
        <v>-3.6761851121749745</v>
      </c>
      <c r="C106" s="431" t="s">
        <v>604</v>
      </c>
      <c r="D106" s="432" t="s">
        <v>605</v>
      </c>
      <c r="E106" s="258"/>
      <c r="F106" s="258"/>
      <c r="G106" s="258"/>
      <c r="H106" s="258"/>
      <c r="I106" s="258"/>
      <c r="J106" s="258"/>
      <c r="K106" s="258"/>
    </row>
    <row r="107" spans="1:11">
      <c r="A107" s="258"/>
      <c r="B107" s="258"/>
      <c r="C107" s="258"/>
      <c r="D107" s="258"/>
      <c r="E107" s="258"/>
      <c r="F107" s="258"/>
      <c r="G107" s="258"/>
      <c r="H107" s="258"/>
      <c r="I107" s="258"/>
      <c r="J107" s="258"/>
      <c r="K107" s="258"/>
    </row>
    <row r="108" spans="1:11">
      <c r="A108" s="553" t="s">
        <v>606</v>
      </c>
      <c r="B108" s="553"/>
      <c r="C108" s="553"/>
      <c r="D108" s="553"/>
      <c r="E108" s="553"/>
      <c r="F108" s="553"/>
      <c r="G108" s="553"/>
      <c r="H108" s="258"/>
      <c r="I108" s="258"/>
      <c r="J108" s="258"/>
      <c r="K108" s="258"/>
    </row>
    <row r="109" spans="1:11">
      <c r="A109" s="364" t="s">
        <v>607</v>
      </c>
      <c r="B109" s="365" t="s">
        <v>608</v>
      </c>
      <c r="C109" s="365" t="s">
        <v>609</v>
      </c>
      <c r="D109" s="366" t="s">
        <v>610</v>
      </c>
      <c r="E109" s="258"/>
      <c r="F109" s="258"/>
      <c r="G109" s="258"/>
      <c r="H109" s="258"/>
      <c r="I109" s="258"/>
      <c r="J109" s="258"/>
      <c r="K109" s="258"/>
    </row>
    <row r="110" spans="1:11" ht="27">
      <c r="A110" s="393" t="s">
        <v>611</v>
      </c>
      <c r="B110" s="426" t="s">
        <v>612</v>
      </c>
      <c r="C110" s="426" t="s">
        <v>613</v>
      </c>
      <c r="D110" s="538" t="s">
        <v>614</v>
      </c>
      <c r="E110" s="258"/>
      <c r="F110" s="258"/>
      <c r="G110" s="258"/>
      <c r="H110" s="258"/>
      <c r="I110" s="258"/>
      <c r="J110" s="258"/>
      <c r="K110" s="258"/>
    </row>
    <row r="111" spans="1:11" ht="53.25">
      <c r="A111" s="395" t="s">
        <v>572</v>
      </c>
      <c r="B111" s="428" t="s">
        <v>615</v>
      </c>
      <c r="C111" s="428" t="s">
        <v>616</v>
      </c>
      <c r="D111" s="539" t="s">
        <v>617</v>
      </c>
      <c r="E111" s="258"/>
      <c r="F111" s="258"/>
      <c r="G111" s="258"/>
      <c r="H111" s="258"/>
      <c r="I111" s="258"/>
      <c r="J111" s="258"/>
      <c r="K111" s="258"/>
    </row>
    <row r="112" spans="1:11" ht="27">
      <c r="A112" s="393" t="s">
        <v>618</v>
      </c>
      <c r="B112" s="425">
        <f>B57/B55</f>
        <v>0.95337602565740986</v>
      </c>
      <c r="C112" s="426" t="s">
        <v>619</v>
      </c>
      <c r="D112" s="538" t="s">
        <v>620</v>
      </c>
      <c r="E112" s="258"/>
      <c r="F112" s="258"/>
      <c r="G112" s="258"/>
      <c r="H112" s="258"/>
      <c r="I112" s="258"/>
      <c r="J112" s="258"/>
      <c r="K112" s="258"/>
    </row>
    <row r="113" spans="1:11" ht="27">
      <c r="A113" s="433" t="s">
        <v>621</v>
      </c>
      <c r="B113" s="434" t="s">
        <v>622</v>
      </c>
      <c r="C113" s="434" t="s">
        <v>623</v>
      </c>
      <c r="D113" s="542" t="s">
        <v>624</v>
      </c>
      <c r="E113" s="258"/>
      <c r="F113" s="258"/>
      <c r="G113" s="258"/>
      <c r="H113" s="258"/>
      <c r="I113" s="258"/>
      <c r="J113" s="258"/>
      <c r="K113" s="258"/>
    </row>
    <row r="114" spans="1:11">
      <c r="A114" s="258"/>
      <c r="B114" s="258"/>
      <c r="C114" s="258"/>
      <c r="D114" s="258"/>
      <c r="E114" s="258"/>
      <c r="F114" s="258"/>
      <c r="G114" s="258"/>
      <c r="H114" s="258"/>
      <c r="I114" s="258"/>
      <c r="J114" s="258"/>
      <c r="K114" s="258"/>
    </row>
    <row r="115" spans="1:11" ht="75" customHeight="1">
      <c r="A115" s="530" t="s">
        <v>625</v>
      </c>
      <c r="B115" s="530"/>
      <c r="C115" s="530"/>
      <c r="D115" s="530"/>
      <c r="E115" s="530"/>
      <c r="F115" s="530"/>
      <c r="G115" s="530"/>
      <c r="H115" s="258"/>
      <c r="I115" s="258"/>
      <c r="J115" s="258"/>
      <c r="K115" s="258"/>
    </row>
  </sheetData>
  <mergeCells count="29">
    <mergeCell ref="A93:G93"/>
    <mergeCell ref="A99:G99"/>
    <mergeCell ref="A108:G108"/>
    <mergeCell ref="A115:G115"/>
    <mergeCell ref="A88:G88"/>
    <mergeCell ref="A89:G89"/>
    <mergeCell ref="A90:G90"/>
    <mergeCell ref="A91:G91"/>
    <mergeCell ref="A34:G34"/>
    <mergeCell ref="A68:G68"/>
    <mergeCell ref="A80:G80"/>
    <mergeCell ref="A61:G61"/>
    <mergeCell ref="A69:G69"/>
    <mergeCell ref="A1:G1"/>
    <mergeCell ref="A87:G87"/>
    <mergeCell ref="A42:G42"/>
    <mergeCell ref="A25:G25"/>
    <mergeCell ref="A26:G26"/>
    <mergeCell ref="A31:G31"/>
    <mergeCell ref="A29:G29"/>
    <mergeCell ref="A30:G30"/>
    <mergeCell ref="A27:G27"/>
    <mergeCell ref="A48:G48"/>
    <mergeCell ref="A60:G60"/>
    <mergeCell ref="A32:G32"/>
    <mergeCell ref="A43:G43"/>
    <mergeCell ref="A44:G44"/>
    <mergeCell ref="A3:G3"/>
    <mergeCell ref="A24:G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DA5D0-4529-40B7-9114-22698C79B827}">
  <sheetPr>
    <tabColor rgb="FF1B2A4A"/>
  </sheetPr>
  <dimension ref="A1:E66"/>
  <sheetViews>
    <sheetView workbookViewId="0">
      <selection activeCell="J1" sqref="J1"/>
    </sheetView>
  </sheetViews>
  <sheetFormatPr defaultRowHeight="15"/>
  <cols>
    <col min="1" max="1" width="49.5703125" bestFit="1" customWidth="1"/>
    <col min="2" max="3" width="11.7109375" bestFit="1" customWidth="1"/>
    <col min="4" max="4" width="11.5703125" bestFit="1" customWidth="1"/>
    <col min="5" max="5" width="24.7109375" bestFit="1" customWidth="1"/>
  </cols>
  <sheetData>
    <row r="1" spans="1:5" ht="18.75">
      <c r="A1" s="529" t="s">
        <v>626</v>
      </c>
      <c r="B1" s="529"/>
      <c r="C1" s="529"/>
      <c r="D1" s="529"/>
      <c r="E1" s="529"/>
    </row>
    <row r="2" spans="1:5">
      <c r="A2" s="258"/>
      <c r="B2" s="258"/>
      <c r="C2" s="258"/>
      <c r="D2" s="258"/>
      <c r="E2" s="258"/>
    </row>
    <row r="3" spans="1:5">
      <c r="A3" s="258"/>
      <c r="B3" s="258"/>
      <c r="C3" s="258"/>
      <c r="D3" s="258"/>
      <c r="E3" s="258"/>
    </row>
    <row r="4" spans="1:5">
      <c r="A4" s="553" t="s">
        <v>627</v>
      </c>
      <c r="B4" s="553"/>
      <c r="C4" s="553"/>
      <c r="D4" s="553"/>
      <c r="E4" s="553"/>
    </row>
    <row r="5" spans="1:5">
      <c r="A5" s="258"/>
      <c r="B5" s="258"/>
      <c r="C5" s="258"/>
      <c r="D5" s="258"/>
      <c r="E5" s="258"/>
    </row>
    <row r="6" spans="1:5">
      <c r="A6" s="364" t="s">
        <v>628</v>
      </c>
      <c r="B6" s="365" t="s">
        <v>385</v>
      </c>
      <c r="C6" s="365" t="s">
        <v>384</v>
      </c>
      <c r="D6" s="365" t="s">
        <v>629</v>
      </c>
      <c r="E6" s="366" t="s">
        <v>487</v>
      </c>
    </row>
    <row r="7" spans="1:5">
      <c r="A7" s="395" t="s">
        <v>392</v>
      </c>
      <c r="B7" s="396">
        <f>'BALANCE DE SITUACIÓN'!C36</f>
        <v>625068</v>
      </c>
      <c r="C7" s="396">
        <f>'BALANCE DE SITUACIÓN'!D36</f>
        <v>738462</v>
      </c>
      <c r="D7" s="396">
        <f>B7-C7</f>
        <v>-113394</v>
      </c>
      <c r="E7" s="437">
        <f>IFERROR(D7/ABS(C7),"n/a")</f>
        <v>-0.1535542790285756</v>
      </c>
    </row>
    <row r="8" spans="1:5">
      <c r="A8" s="395" t="s">
        <v>398</v>
      </c>
      <c r="B8" s="396">
        <f>'BALANCE DE SITUACIÓN'!C127</f>
        <v>1031409</v>
      </c>
      <c r="C8" s="396">
        <f>'BALANCE DE SITUACIÓN'!D127</f>
        <v>893250</v>
      </c>
      <c r="D8" s="396">
        <f>B8-C8</f>
        <v>138159</v>
      </c>
      <c r="E8" s="437">
        <f>IFERROR(D8/ABS(C8),"n/a")</f>
        <v>0.15467002518891687</v>
      </c>
    </row>
    <row r="9" spans="1:5">
      <c r="A9" s="429" t="s">
        <v>630</v>
      </c>
      <c r="B9" s="438">
        <f>B7-B8</f>
        <v>-406341</v>
      </c>
      <c r="C9" s="438">
        <f>C7-C8</f>
        <v>-154788</v>
      </c>
      <c r="D9" s="438">
        <f>B9-C9</f>
        <v>-251553</v>
      </c>
      <c r="E9" s="439">
        <f>IFERROR(D9/ABS(C9),"n/a")</f>
        <v>-1.6251453601054344</v>
      </c>
    </row>
    <row r="10" spans="1:5">
      <c r="A10" s="258"/>
      <c r="B10" s="440"/>
      <c r="C10" s="440"/>
      <c r="D10" s="440"/>
      <c r="E10" s="441"/>
    </row>
    <row r="11" spans="1:5">
      <c r="A11" s="442" t="s">
        <v>631</v>
      </c>
      <c r="B11" s="443"/>
      <c r="C11" s="443"/>
      <c r="D11" s="443"/>
      <c r="E11" s="444"/>
    </row>
    <row r="12" spans="1:5">
      <c r="A12" s="395" t="s">
        <v>632</v>
      </c>
      <c r="B12" s="396">
        <f>'BALANCE DE SITUACIÓN'!C38</f>
        <v>421245</v>
      </c>
      <c r="C12" s="396">
        <f>'BALANCE DE SITUACIÓN'!D38</f>
        <v>477896</v>
      </c>
      <c r="D12" s="396">
        <f>B12-C12</f>
        <v>-56651</v>
      </c>
      <c r="E12" s="437">
        <f>IFERROR(D12/ABS(C12),"n/a")</f>
        <v>-0.11854252808142357</v>
      </c>
    </row>
    <row r="13" spans="1:5">
      <c r="A13" s="395" t="s">
        <v>633</v>
      </c>
      <c r="B13" s="396">
        <f>'BALANCE DE SITUACIÓN'!C51</f>
        <v>197821</v>
      </c>
      <c r="C13" s="396">
        <f>'BALANCE DE SITUACIÓN'!D51</f>
        <v>257849</v>
      </c>
      <c r="D13" s="396">
        <f>B13-C13</f>
        <v>-60028</v>
      </c>
      <c r="E13" s="437">
        <f>IFERROR(D13/ABS(C13),"n/a")</f>
        <v>-0.23280291953817933</v>
      </c>
    </row>
    <row r="14" spans="1:5">
      <c r="A14" s="395" t="s">
        <v>634</v>
      </c>
      <c r="B14" s="396">
        <f>'BALANCE DE SITUACIÓN'!C75</f>
        <v>1703</v>
      </c>
      <c r="C14" s="396">
        <f>'BALANCE DE SITUACIÓN'!D75</f>
        <v>1134</v>
      </c>
      <c r="D14" s="396">
        <f>B14-C14</f>
        <v>569</v>
      </c>
      <c r="E14" s="437">
        <f>IFERROR(D14/ABS(C14),"n/a")</f>
        <v>0.50176366843033515</v>
      </c>
    </row>
    <row r="15" spans="1:5">
      <c r="A15" s="395" t="s">
        <v>635</v>
      </c>
      <c r="B15" s="445">
        <f>SUM(B12:B14)</f>
        <v>620769</v>
      </c>
      <c r="C15" s="445">
        <f>SUM(C12:C14)</f>
        <v>736879</v>
      </c>
      <c r="D15" s="445">
        <f>B15-C15</f>
        <v>-116110</v>
      </c>
      <c r="E15" s="446">
        <f>IFERROR(D15/ABS(C15),"n/a")</f>
        <v>-0.15756996738949</v>
      </c>
    </row>
    <row r="16" spans="1:5">
      <c r="A16" s="395" t="s">
        <v>636</v>
      </c>
      <c r="B16" s="396">
        <f>'BALANCE DE SITUACIÓN'!C139</f>
        <v>277399</v>
      </c>
      <c r="C16" s="396">
        <f>'BALANCE DE SITUACIÓN'!D139</f>
        <v>222323</v>
      </c>
      <c r="D16" s="396">
        <f>B16-C16</f>
        <v>55076</v>
      </c>
      <c r="E16" s="437">
        <f>IFERROR(D16/ABS(C16),"n/a")</f>
        <v>0.24772965460163815</v>
      </c>
    </row>
    <row r="17" spans="1:5">
      <c r="A17" s="395" t="s">
        <v>637</v>
      </c>
      <c r="B17" s="445">
        <f>B16</f>
        <v>277399</v>
      </c>
      <c r="C17" s="445">
        <f>C16</f>
        <v>222323</v>
      </c>
      <c r="D17" s="445">
        <f>B17-C17</f>
        <v>55076</v>
      </c>
      <c r="E17" s="446">
        <f>IFERROR(D17/ABS(C17),"n/a")</f>
        <v>0.24772965460163815</v>
      </c>
    </row>
    <row r="18" spans="1:5">
      <c r="A18" s="429" t="s">
        <v>638</v>
      </c>
      <c r="B18" s="438">
        <f>B15-B17</f>
        <v>343370</v>
      </c>
      <c r="C18" s="438">
        <f>C15-C17</f>
        <v>514556</v>
      </c>
      <c r="D18" s="438">
        <f>B18-C18</f>
        <v>-171186</v>
      </c>
      <c r="E18" s="439">
        <f>IFERROR(D18/ABS(C18),"n/a")</f>
        <v>-0.33268682125949361</v>
      </c>
    </row>
    <row r="19" spans="1:5">
      <c r="A19" s="258"/>
      <c r="B19" s="440"/>
      <c r="C19" s="440"/>
      <c r="D19" s="440"/>
      <c r="E19" s="441"/>
    </row>
    <row r="20" spans="1:5">
      <c r="A20" s="442" t="s">
        <v>639</v>
      </c>
      <c r="B20" s="443"/>
      <c r="C20" s="443"/>
      <c r="D20" s="443"/>
      <c r="E20" s="444"/>
    </row>
    <row r="21" spans="1:5">
      <c r="A21" s="395" t="s">
        <v>640</v>
      </c>
      <c r="B21" s="396">
        <f>'BALANCE DE SITUACIÓN'!C61</f>
        <v>770</v>
      </c>
      <c r="C21" s="396">
        <f>'BALANCE DE SITUACIÓN'!D61</f>
        <v>0</v>
      </c>
      <c r="D21" s="396">
        <f>B21-C21</f>
        <v>770</v>
      </c>
      <c r="E21" s="437" t="str">
        <f>IFERROR(D21/ABS(C21),"n/a")</f>
        <v>n/a</v>
      </c>
    </row>
    <row r="22" spans="1:5">
      <c r="A22" s="395" t="s">
        <v>641</v>
      </c>
      <c r="B22" s="396">
        <f>'BALANCE DE SITUACIÓN'!C68</f>
        <v>80</v>
      </c>
      <c r="C22" s="396">
        <f>'BALANCE DE SITUACIÓN'!D68</f>
        <v>308</v>
      </c>
      <c r="D22" s="396">
        <f>B22-C22</f>
        <v>-228</v>
      </c>
      <c r="E22" s="437">
        <f>IFERROR(D22/ABS(C22),"n/a")</f>
        <v>-0.74025974025974028</v>
      </c>
    </row>
    <row r="23" spans="1:5">
      <c r="A23" s="395" t="s">
        <v>642</v>
      </c>
      <c r="B23" s="396">
        <f>'BALANCE DE SITUACIÓN'!C76</f>
        <v>3449</v>
      </c>
      <c r="C23" s="396">
        <f>'BALANCE DE SITUACIÓN'!D76</f>
        <v>1275</v>
      </c>
      <c r="D23" s="396">
        <f>B23-C23</f>
        <v>2174</v>
      </c>
      <c r="E23" s="437">
        <f>IFERROR(D23/ABS(C23),"n/a")</f>
        <v>1.7050980392156863</v>
      </c>
    </row>
    <row r="24" spans="1:5">
      <c r="A24" s="395" t="s">
        <v>643</v>
      </c>
      <c r="B24" s="445">
        <f>SUM(B21:B23)</f>
        <v>4299</v>
      </c>
      <c r="C24" s="445">
        <f>SUM(C21:C23)</f>
        <v>1583</v>
      </c>
      <c r="D24" s="445">
        <f>B24-C24</f>
        <v>2716</v>
      </c>
      <c r="E24" s="446">
        <f>IFERROR(D24/ABS(C24),"n/a")</f>
        <v>1.7157296272899558</v>
      </c>
    </row>
    <row r="25" spans="1:5">
      <c r="A25" s="395" t="s">
        <v>644</v>
      </c>
      <c r="B25" s="396">
        <f>'BALANCE DE SITUACIÓN'!C132</f>
        <v>221802</v>
      </c>
      <c r="C25" s="396">
        <f>'BALANCE DE SITUACIÓN'!D132</f>
        <v>218497</v>
      </c>
      <c r="D25" s="396">
        <f>B25-C25</f>
        <v>3305</v>
      </c>
      <c r="E25" s="437">
        <f>IFERROR(D25/ABS(C25),"n/a")</f>
        <v>1.512606580410715E-2</v>
      </c>
    </row>
    <row r="26" spans="1:5">
      <c r="A26" s="395" t="s">
        <v>645</v>
      </c>
      <c r="B26" s="396">
        <f>'BALANCE DE SITUACIÓN'!C138</f>
        <v>532208</v>
      </c>
      <c r="C26" s="396">
        <f>'BALANCE DE SITUACIÓN'!D138</f>
        <v>452430</v>
      </c>
      <c r="D26" s="396">
        <f>B26-C26</f>
        <v>79778</v>
      </c>
      <c r="E26" s="437">
        <f>IFERROR(D26/ABS(C26),"n/a")</f>
        <v>0.17633225029286298</v>
      </c>
    </row>
    <row r="27" spans="1:5">
      <c r="A27" s="395" t="s">
        <v>646</v>
      </c>
      <c r="B27" s="445">
        <f>B25+B26</f>
        <v>754010</v>
      </c>
      <c r="C27" s="445">
        <f>C25+C26</f>
        <v>670927</v>
      </c>
      <c r="D27" s="445">
        <f>B27-C27</f>
        <v>83083</v>
      </c>
      <c r="E27" s="446">
        <f>IFERROR(D27/ABS(C27),"n/a")</f>
        <v>0.12383314429140577</v>
      </c>
    </row>
    <row r="28" spans="1:5">
      <c r="A28" s="429" t="s">
        <v>647</v>
      </c>
      <c r="B28" s="438">
        <f>B24-B27</f>
        <v>-749711</v>
      </c>
      <c r="C28" s="438">
        <f>C24-C27</f>
        <v>-669344</v>
      </c>
      <c r="D28" s="438">
        <f>B28-C28</f>
        <v>-80367</v>
      </c>
      <c r="E28" s="439">
        <f>IFERROR(D28/ABS(C28),"n/a")</f>
        <v>-0.12006830568437156</v>
      </c>
    </row>
    <row r="29" spans="1:5">
      <c r="A29" s="447" t="s">
        <v>648</v>
      </c>
      <c r="B29" s="448">
        <f>B18+B28</f>
        <v>-406341</v>
      </c>
      <c r="C29" s="448">
        <f>C18+C28</f>
        <v>-154788</v>
      </c>
      <c r="D29" s="258"/>
      <c r="E29" s="258"/>
    </row>
    <row r="30" spans="1:5">
      <c r="A30" s="258"/>
      <c r="B30" s="258"/>
      <c r="C30" s="258"/>
      <c r="D30" s="258"/>
      <c r="E30" s="258"/>
    </row>
    <row r="31" spans="1:5">
      <c r="A31" s="553" t="s">
        <v>649</v>
      </c>
      <c r="B31" s="553"/>
      <c r="C31" s="553"/>
      <c r="D31" s="553"/>
      <c r="E31" s="553"/>
    </row>
    <row r="32" spans="1:5">
      <c r="A32" s="258"/>
      <c r="B32" s="258"/>
      <c r="C32" s="258"/>
      <c r="D32" s="258"/>
      <c r="E32" s="258"/>
    </row>
    <row r="33" spans="1:5">
      <c r="A33" s="442" t="s">
        <v>650</v>
      </c>
      <c r="B33" s="449">
        <v>2023</v>
      </c>
      <c r="C33" s="450">
        <v>2022</v>
      </c>
      <c r="D33" s="258"/>
      <c r="E33" s="258"/>
    </row>
    <row r="34" spans="1:5">
      <c r="A34" s="395" t="s">
        <v>530</v>
      </c>
      <c r="B34" s="396">
        <f>'ANÁLISIS CUENTA PyG'!B6</f>
        <v>1313068</v>
      </c>
      <c r="C34" s="405">
        <f>'ANÁLISIS CUENTA PyG'!C6</f>
        <v>1912676</v>
      </c>
      <c r="D34" s="258"/>
      <c r="E34" s="258"/>
    </row>
    <row r="35" spans="1:5">
      <c r="A35" s="395" t="s">
        <v>651</v>
      </c>
      <c r="B35" s="396">
        <f>-'CUENTA DE PÉRDIDAS Y GANANCIAS'!C10</f>
        <v>1137455</v>
      </c>
      <c r="C35" s="405">
        <f>-'CUENTA DE PÉRDIDAS Y GANANCIAS'!D10</f>
        <v>1450909</v>
      </c>
      <c r="D35" s="258"/>
      <c r="E35" s="258"/>
    </row>
    <row r="36" spans="1:5">
      <c r="A36" s="395" t="s">
        <v>652</v>
      </c>
      <c r="B36" s="396">
        <f>'CUENTA DE PÉRDIDAS Y GANANCIAS'!C8</f>
        <v>-33140</v>
      </c>
      <c r="C36" s="405">
        <f>'CUENTA DE PÉRDIDAS Y GANANCIAS'!D8</f>
        <v>11384</v>
      </c>
      <c r="D36" s="258"/>
      <c r="E36" s="258"/>
    </row>
    <row r="37" spans="1:5">
      <c r="A37" s="395" t="s">
        <v>653</v>
      </c>
      <c r="B37" s="445">
        <f>B35-B36</f>
        <v>1170595</v>
      </c>
      <c r="C37" s="451">
        <f>C35-C36</f>
        <v>1439525</v>
      </c>
      <c r="D37" s="258"/>
      <c r="E37" s="258"/>
    </row>
    <row r="38" spans="1:5">
      <c r="A38" s="395" t="s">
        <v>654</v>
      </c>
      <c r="B38" s="445">
        <f>-'ANÁLISIS CUENTA PyG'!B7</f>
        <v>1164466</v>
      </c>
      <c r="C38" s="451">
        <f>-'ANÁLISIS CUENTA PyG'!C7</f>
        <v>1414210</v>
      </c>
      <c r="D38" s="258"/>
      <c r="E38" s="258"/>
    </row>
    <row r="39" spans="1:5">
      <c r="A39" s="395" t="s">
        <v>655</v>
      </c>
      <c r="B39" s="396">
        <f>'BALANCE DE SITUACIÓN'!C40</f>
        <v>160765</v>
      </c>
      <c r="C39" s="405">
        <f>'BALANCE DE SITUACIÓN'!D40</f>
        <v>184275</v>
      </c>
      <c r="D39" s="258"/>
      <c r="E39" s="258"/>
    </row>
    <row r="40" spans="1:5">
      <c r="A40" s="395" t="s">
        <v>656</v>
      </c>
      <c r="B40" s="396">
        <f>'BALANCE DE SITUACIÓN'!C43</f>
        <v>124468</v>
      </c>
      <c r="C40" s="405">
        <f>'BALANCE DE SITUACIÓN'!D43</f>
        <v>132594</v>
      </c>
      <c r="D40" s="258"/>
      <c r="E40" s="258"/>
    </row>
    <row r="41" spans="1:5">
      <c r="A41" s="395" t="s">
        <v>657</v>
      </c>
      <c r="B41" s="396">
        <f>'BALANCE DE SITUACIÓN'!C46+'BALANCE DE SITUACIÓN'!C49</f>
        <v>136012</v>
      </c>
      <c r="C41" s="405">
        <f>'BALANCE DE SITUACIÓN'!D46+'BALANCE DE SITUACIÓN'!D49</f>
        <v>161027</v>
      </c>
      <c r="D41" s="258"/>
      <c r="E41" s="258"/>
    </row>
    <row r="42" spans="1:5">
      <c r="A42" s="395" t="s">
        <v>658</v>
      </c>
      <c r="B42" s="396">
        <f>'BALANCE DE SITUACIÓN'!C54+'BALANCE DE SITUACIÓN'!C55-'BALANCE DE SITUACIÓN'!C148</f>
        <v>172824</v>
      </c>
      <c r="C42" s="405">
        <f>'BALANCE DE SITUACIÓN'!D54+'BALANCE DE SITUACIÓN'!D55-'BALANCE DE SITUACIÓN'!D148</f>
        <v>251468</v>
      </c>
      <c r="D42" s="258"/>
      <c r="E42" s="258"/>
    </row>
    <row r="43" spans="1:5">
      <c r="A43" s="406" t="s">
        <v>659</v>
      </c>
      <c r="B43" s="407">
        <f>'BALANCE DE SITUACIÓN'!C139</f>
        <v>277399</v>
      </c>
      <c r="C43" s="408">
        <f>'BALANCE DE SITUACIÓN'!D139</f>
        <v>222323</v>
      </c>
      <c r="D43" s="258"/>
      <c r="E43" s="258"/>
    </row>
    <row r="44" spans="1:5">
      <c r="A44" s="258"/>
      <c r="B44" s="258"/>
      <c r="C44" s="258"/>
      <c r="D44" s="258"/>
      <c r="E44" s="258"/>
    </row>
    <row r="45" spans="1:5">
      <c r="A45" s="452" t="s">
        <v>660</v>
      </c>
      <c r="B45" s="365" t="s">
        <v>661</v>
      </c>
      <c r="C45" s="365" t="s">
        <v>662</v>
      </c>
      <c r="D45" s="365" t="s">
        <v>406</v>
      </c>
      <c r="E45" s="366" t="s">
        <v>540</v>
      </c>
    </row>
    <row r="46" spans="1:5">
      <c r="A46" s="395" t="s">
        <v>663</v>
      </c>
      <c r="B46" s="453">
        <f>B39/B35*365</f>
        <v>51.588172718920745</v>
      </c>
      <c r="C46" s="453">
        <f>C39/C35*365</f>
        <v>46.35740422038873</v>
      </c>
      <c r="D46" s="453">
        <f>B46-C46</f>
        <v>5.2307684985320151</v>
      </c>
      <c r="E46" s="454" t="s">
        <v>664</v>
      </c>
    </row>
    <row r="47" spans="1:5">
      <c r="A47" s="395" t="s">
        <v>665</v>
      </c>
      <c r="B47" s="453">
        <f>B40/B37*365</f>
        <v>38.810023962173084</v>
      </c>
      <c r="C47" s="453">
        <f>C40/C37*365</f>
        <v>33.619985759191401</v>
      </c>
      <c r="D47" s="453">
        <f>B47-C47</f>
        <v>5.1900382029816825</v>
      </c>
      <c r="E47" s="454" t="s">
        <v>666</v>
      </c>
    </row>
    <row r="48" spans="1:5">
      <c r="A48" s="395" t="s">
        <v>667</v>
      </c>
      <c r="B48" s="453">
        <f>B41/B38*365</f>
        <v>42.632743248836803</v>
      </c>
      <c r="C48" s="453">
        <f>C41/C38*365</f>
        <v>41.560203223000826</v>
      </c>
      <c r="D48" s="453">
        <f>B48-C48</f>
        <v>1.072540025835977</v>
      </c>
      <c r="E48" s="454" t="s">
        <v>668</v>
      </c>
    </row>
    <row r="49" spans="1:5">
      <c r="A49" s="395" t="s">
        <v>669</v>
      </c>
      <c r="B49" s="453">
        <f>B42/B34*365</f>
        <v>48.04074122589234</v>
      </c>
      <c r="C49" s="453">
        <f>C42/C34*365</f>
        <v>47.988169454732535</v>
      </c>
      <c r="D49" s="453">
        <f>B49-C49</f>
        <v>5.2571771159804825E-2</v>
      </c>
      <c r="E49" s="454" t="s">
        <v>670</v>
      </c>
    </row>
    <row r="50" spans="1:5">
      <c r="A50" s="399" t="s">
        <v>671</v>
      </c>
      <c r="B50" s="455">
        <f>B46+B47+B48+B49</f>
        <v>181.07168115582297</v>
      </c>
      <c r="C50" s="455">
        <f>C46+C47+C48+C49</f>
        <v>169.52576265731349</v>
      </c>
      <c r="D50" s="455">
        <f>B50-C50</f>
        <v>11.545918498509479</v>
      </c>
      <c r="E50" s="456" t="s">
        <v>672</v>
      </c>
    </row>
    <row r="51" spans="1:5">
      <c r="A51" s="395" t="s">
        <v>673</v>
      </c>
      <c r="B51" s="453">
        <f>B43/B35*365</f>
        <v>89.015068727993636</v>
      </c>
      <c r="C51" s="453">
        <f>C43/C35*365</f>
        <v>55.929003817606755</v>
      </c>
      <c r="D51" s="453">
        <f>B51-C51</f>
        <v>33.086064910386881</v>
      </c>
      <c r="E51" s="454" t="s">
        <v>674</v>
      </c>
    </row>
    <row r="52" spans="1:5">
      <c r="A52" s="429" t="s">
        <v>675</v>
      </c>
      <c r="B52" s="457">
        <f>B50-B51</f>
        <v>92.056612427829336</v>
      </c>
      <c r="C52" s="457">
        <f>C50-C51</f>
        <v>113.59675883970674</v>
      </c>
      <c r="D52" s="457">
        <f>B52-C52</f>
        <v>-21.540146411877402</v>
      </c>
      <c r="E52" s="458" t="s">
        <v>676</v>
      </c>
    </row>
    <row r="53" spans="1:5">
      <c r="A53" s="258"/>
      <c r="B53" s="258"/>
      <c r="C53" s="258"/>
      <c r="D53" s="258"/>
      <c r="E53" s="258"/>
    </row>
    <row r="54" spans="1:5">
      <c r="A54" s="553" t="s">
        <v>677</v>
      </c>
      <c r="B54" s="553"/>
      <c r="C54" s="553"/>
      <c r="D54" s="553"/>
      <c r="E54" s="553"/>
    </row>
    <row r="55" spans="1:5" ht="60" customHeight="1">
      <c r="A55" s="530" t="s">
        <v>678</v>
      </c>
      <c r="B55" s="530"/>
      <c r="C55" s="530"/>
      <c r="D55" s="530"/>
      <c r="E55" s="530"/>
    </row>
    <row r="56" spans="1:5" ht="60" customHeight="1">
      <c r="A56" s="530" t="s">
        <v>679</v>
      </c>
      <c r="B56" s="530"/>
      <c r="C56" s="530"/>
      <c r="D56" s="530"/>
      <c r="E56" s="530"/>
    </row>
    <row r="57" spans="1:5">
      <c r="A57" s="258"/>
      <c r="B57" s="258"/>
      <c r="C57" s="258"/>
      <c r="D57" s="258"/>
      <c r="E57" s="258"/>
    </row>
    <row r="58" spans="1:5">
      <c r="A58" s="553" t="s">
        <v>680</v>
      </c>
      <c r="B58" s="553"/>
      <c r="C58" s="553"/>
      <c r="D58" s="553"/>
      <c r="E58" s="553"/>
    </row>
    <row r="59" spans="1:5" ht="60" customHeight="1">
      <c r="A59" s="530" t="s">
        <v>681</v>
      </c>
      <c r="B59" s="530"/>
      <c r="C59" s="530"/>
      <c r="D59" s="530"/>
      <c r="E59" s="530"/>
    </row>
    <row r="60" spans="1:5" ht="60" customHeight="1">
      <c r="A60" s="530" t="s">
        <v>682</v>
      </c>
      <c r="B60" s="530"/>
      <c r="C60" s="530"/>
      <c r="D60" s="530"/>
      <c r="E60" s="530"/>
    </row>
    <row r="61" spans="1:5">
      <c r="A61" s="258"/>
      <c r="B61" s="258"/>
      <c r="C61" s="258"/>
      <c r="D61" s="258"/>
      <c r="E61" s="258"/>
    </row>
    <row r="62" spans="1:5">
      <c r="A62" s="553" t="s">
        <v>683</v>
      </c>
      <c r="B62" s="553"/>
      <c r="C62" s="553"/>
      <c r="D62" s="553"/>
      <c r="E62" s="553"/>
    </row>
    <row r="63" spans="1:5" ht="60" customHeight="1">
      <c r="A63" s="533" t="s">
        <v>684</v>
      </c>
      <c r="B63" s="533"/>
      <c r="C63" s="533"/>
      <c r="D63" s="533"/>
      <c r="E63" s="533"/>
    </row>
    <row r="64" spans="1:5" ht="60" customHeight="1">
      <c r="A64" s="530" t="s">
        <v>685</v>
      </c>
      <c r="B64" s="530"/>
      <c r="C64" s="530"/>
      <c r="D64" s="530"/>
      <c r="E64" s="530"/>
    </row>
    <row r="65" spans="1:5" ht="60" customHeight="1">
      <c r="A65" s="530" t="s">
        <v>686</v>
      </c>
      <c r="B65" s="530"/>
      <c r="C65" s="530"/>
      <c r="D65" s="530"/>
      <c r="E65" s="530"/>
    </row>
    <row r="66" spans="1:5" ht="60" customHeight="1">
      <c r="A66" s="532" t="s">
        <v>687</v>
      </c>
      <c r="B66" s="532"/>
      <c r="C66" s="532"/>
      <c r="D66" s="532"/>
      <c r="E66" s="532"/>
    </row>
  </sheetData>
  <mergeCells count="14">
    <mergeCell ref="A64:E64"/>
    <mergeCell ref="A65:E65"/>
    <mergeCell ref="A66:E66"/>
    <mergeCell ref="A62:E62"/>
    <mergeCell ref="A55:E55"/>
    <mergeCell ref="A56:E56"/>
    <mergeCell ref="A59:E59"/>
    <mergeCell ref="A60:E60"/>
    <mergeCell ref="A63:E63"/>
    <mergeCell ref="A1:E1"/>
    <mergeCell ref="A4:E4"/>
    <mergeCell ref="A31:E31"/>
    <mergeCell ref="A54:E54"/>
    <mergeCell ref="A58:E5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FF5C9-4321-4D07-BF21-1395944D7309}">
  <sheetPr>
    <tabColor rgb="FF1B2A4A"/>
  </sheetPr>
  <dimension ref="A1:F127"/>
  <sheetViews>
    <sheetView tabSelected="1" workbookViewId="0">
      <selection activeCell="E101" sqref="E101"/>
    </sheetView>
  </sheetViews>
  <sheetFormatPr defaultRowHeight="15"/>
  <cols>
    <col min="1" max="1" width="94.85546875" customWidth="1"/>
    <col min="2" max="2" width="17.28515625" customWidth="1"/>
    <col min="3" max="3" width="17.42578125" customWidth="1"/>
    <col min="4" max="4" width="24" customWidth="1"/>
    <col min="5" max="6" width="19" customWidth="1"/>
  </cols>
  <sheetData>
    <row r="1" spans="1:6" ht="18.75">
      <c r="A1" s="436" t="s">
        <v>688</v>
      </c>
      <c r="B1" s="436"/>
      <c r="C1" s="436"/>
      <c r="D1" s="436"/>
      <c r="E1" s="253"/>
      <c r="F1" s="253"/>
    </row>
    <row r="2" spans="1:6">
      <c r="A2" s="258"/>
      <c r="B2" s="258"/>
      <c r="C2" s="258"/>
      <c r="D2" s="258"/>
      <c r="E2" s="253"/>
      <c r="F2" s="253"/>
    </row>
    <row r="3" spans="1:6">
      <c r="A3" s="478" t="s">
        <v>689</v>
      </c>
      <c r="B3" s="258"/>
      <c r="C3" s="258"/>
      <c r="D3" s="258"/>
      <c r="E3" s="253"/>
      <c r="F3" s="253"/>
    </row>
    <row r="4" spans="1:6">
      <c r="A4" s="258"/>
      <c r="B4" s="258"/>
      <c r="C4" s="258"/>
      <c r="D4" s="258"/>
      <c r="E4" s="253"/>
      <c r="F4" s="253"/>
    </row>
    <row r="5" spans="1:6">
      <c r="A5" s="435" t="s">
        <v>628</v>
      </c>
      <c r="B5" s="472">
        <v>2023</v>
      </c>
      <c r="C5" s="472">
        <v>2022</v>
      </c>
      <c r="D5" s="472" t="s">
        <v>406</v>
      </c>
      <c r="E5" s="253"/>
      <c r="F5" s="253"/>
    </row>
    <row r="6" spans="1:6">
      <c r="A6" s="256" t="s">
        <v>690</v>
      </c>
      <c r="B6" s="473">
        <f>B7+B8+B19+B25</f>
        <v>-46571</v>
      </c>
      <c r="C6" s="473">
        <f>C7+C8+C19+C25</f>
        <v>-80827</v>
      </c>
      <c r="D6" s="473">
        <f>B6-C6</f>
        <v>34256</v>
      </c>
      <c r="E6" s="253"/>
      <c r="F6" s="253"/>
    </row>
    <row r="7" spans="1:6">
      <c r="A7" s="258" t="s">
        <v>691</v>
      </c>
      <c r="B7" s="440">
        <v>-262470</v>
      </c>
      <c r="C7" s="440">
        <v>-83216</v>
      </c>
      <c r="D7" s="440">
        <f>B7-C7</f>
        <v>-179254</v>
      </c>
      <c r="E7" s="253"/>
      <c r="F7" s="253"/>
    </row>
    <row r="8" spans="1:6">
      <c r="A8" s="476" t="s">
        <v>692</v>
      </c>
      <c r="B8" s="477">
        <f>SUM(B9:B18)</f>
        <v>53052</v>
      </c>
      <c r="C8" s="477">
        <f>SUM(C9:C18)</f>
        <v>78303</v>
      </c>
      <c r="D8" s="477">
        <f>B8-C8</f>
        <v>-25251</v>
      </c>
      <c r="E8" s="253"/>
      <c r="F8" s="253"/>
    </row>
    <row r="9" spans="1:6">
      <c r="A9" s="258" t="s">
        <v>693</v>
      </c>
      <c r="B9" s="440">
        <v>36003</v>
      </c>
      <c r="C9" s="440">
        <v>30024</v>
      </c>
      <c r="D9" s="440">
        <f>B9-C9</f>
        <v>5979</v>
      </c>
      <c r="E9" s="253"/>
      <c r="F9" s="253"/>
    </row>
    <row r="10" spans="1:6">
      <c r="A10" s="258" t="s">
        <v>694</v>
      </c>
      <c r="B10" s="440">
        <v>-21319</v>
      </c>
      <c r="C10" s="440">
        <v>33304</v>
      </c>
      <c r="D10" s="440">
        <f>B10-C10</f>
        <v>-54623</v>
      </c>
      <c r="E10" s="253"/>
      <c r="F10" s="253"/>
    </row>
    <row r="11" spans="1:6">
      <c r="A11" s="258" t="s">
        <v>695</v>
      </c>
      <c r="B11" s="440">
        <v>7166</v>
      </c>
      <c r="C11" s="440">
        <v>6375</v>
      </c>
      <c r="D11" s="440">
        <f>B11-C11</f>
        <v>791</v>
      </c>
      <c r="E11" s="253"/>
      <c r="F11" s="253"/>
    </row>
    <row r="12" spans="1:6">
      <c r="A12" s="258" t="s">
        <v>696</v>
      </c>
      <c r="B12" s="440">
        <v>-8489</v>
      </c>
      <c r="C12" s="440">
        <v>-6409</v>
      </c>
      <c r="D12" s="440">
        <f>B12-C12</f>
        <v>-2080</v>
      </c>
      <c r="E12" s="253"/>
      <c r="F12" s="253"/>
    </row>
    <row r="13" spans="1:6">
      <c r="A13" s="258" t="s">
        <v>697</v>
      </c>
      <c r="B13" s="440">
        <v>411</v>
      </c>
      <c r="C13" s="440">
        <v>242</v>
      </c>
      <c r="D13" s="440">
        <f>B13-C13</f>
        <v>169</v>
      </c>
      <c r="E13" s="253"/>
      <c r="F13" s="253"/>
    </row>
    <row r="14" spans="1:6">
      <c r="A14" s="258" t="s">
        <v>698</v>
      </c>
      <c r="B14" s="440">
        <v>-350</v>
      </c>
      <c r="C14" s="440">
        <v>-1903</v>
      </c>
      <c r="D14" s="440">
        <f>B14-C14</f>
        <v>1553</v>
      </c>
      <c r="E14" s="253"/>
      <c r="F14" s="253"/>
    </row>
    <row r="15" spans="1:6">
      <c r="A15" s="258" t="s">
        <v>699</v>
      </c>
      <c r="B15" s="440">
        <v>39155</v>
      </c>
      <c r="C15" s="440">
        <v>16235</v>
      </c>
      <c r="D15" s="440">
        <f>B15-C15</f>
        <v>22920</v>
      </c>
      <c r="E15" s="253"/>
      <c r="F15" s="253"/>
    </row>
    <row r="16" spans="1:6">
      <c r="A16" s="258" t="s">
        <v>700</v>
      </c>
      <c r="B16" s="440">
        <v>475</v>
      </c>
      <c r="C16" s="440">
        <v>435</v>
      </c>
      <c r="D16" s="440">
        <f>B16-C16</f>
        <v>40</v>
      </c>
      <c r="E16" s="253"/>
      <c r="F16" s="253"/>
    </row>
    <row r="17" spans="1:6">
      <c r="A17" s="258"/>
      <c r="B17" s="258"/>
      <c r="C17" s="258"/>
      <c r="D17" s="258"/>
      <c r="E17" s="253"/>
      <c r="F17" s="253"/>
    </row>
    <row r="18" spans="1:6">
      <c r="A18" s="258"/>
      <c r="B18" s="258"/>
      <c r="C18" s="258"/>
      <c r="D18" s="258"/>
      <c r="E18" s="253"/>
      <c r="F18" s="253"/>
    </row>
    <row r="19" spans="1:6">
      <c r="A19" s="476" t="s">
        <v>701</v>
      </c>
      <c r="B19" s="477">
        <f>SUM(B20:B24)</f>
        <v>200444</v>
      </c>
      <c r="C19" s="477">
        <f>SUM(C20:C24)</f>
        <v>-61912</v>
      </c>
      <c r="D19" s="477">
        <f>B19-C19</f>
        <v>262356</v>
      </c>
      <c r="E19" s="253"/>
      <c r="F19" s="253"/>
    </row>
    <row r="20" spans="1:6">
      <c r="A20" s="258" t="s">
        <v>702</v>
      </c>
      <c r="B20" s="440">
        <v>86779</v>
      </c>
      <c r="C20" s="440">
        <v>-81815</v>
      </c>
      <c r="D20" s="440">
        <f>B20-C20</f>
        <v>168594</v>
      </c>
      <c r="E20" s="253"/>
      <c r="F20" s="253"/>
    </row>
    <row r="21" spans="1:6">
      <c r="A21" s="258" t="s">
        <v>703</v>
      </c>
      <c r="B21" s="440">
        <v>60028</v>
      </c>
      <c r="C21" s="440">
        <v>188460</v>
      </c>
      <c r="D21" s="440">
        <f>B21-C21</f>
        <v>-128432</v>
      </c>
      <c r="E21" s="253"/>
      <c r="F21" s="253"/>
    </row>
    <row r="22" spans="1:6">
      <c r="A22" s="258" t="s">
        <v>704</v>
      </c>
      <c r="B22" s="440">
        <v>-341</v>
      </c>
      <c r="C22" s="440">
        <v>3490</v>
      </c>
      <c r="D22" s="440">
        <f>B22-C22</f>
        <v>-3831</v>
      </c>
      <c r="E22" s="253"/>
      <c r="F22" s="253"/>
    </row>
    <row r="23" spans="1:6">
      <c r="A23" s="258" t="s">
        <v>705</v>
      </c>
      <c r="B23" s="440">
        <v>55759</v>
      </c>
      <c r="C23" s="440">
        <v>-172748</v>
      </c>
      <c r="D23" s="440">
        <f>B23-C23</f>
        <v>228507</v>
      </c>
      <c r="E23" s="253"/>
      <c r="F23" s="253"/>
    </row>
    <row r="24" spans="1:6">
      <c r="A24" s="258" t="s">
        <v>706</v>
      </c>
      <c r="B24" s="440">
        <v>-1781</v>
      </c>
      <c r="C24" s="440">
        <v>701</v>
      </c>
      <c r="D24" s="440">
        <f>B24-C24</f>
        <v>-2482</v>
      </c>
      <c r="E24" s="253"/>
      <c r="F24" s="253"/>
    </row>
    <row r="25" spans="1:6">
      <c r="A25" s="476" t="s">
        <v>707</v>
      </c>
      <c r="B25" s="477">
        <f>SUM(B26:B28)</f>
        <v>-37597</v>
      </c>
      <c r="C25" s="477">
        <f>SUM(C26:C28)</f>
        <v>-14002</v>
      </c>
      <c r="D25" s="477">
        <f>B25-C25</f>
        <v>-23595</v>
      </c>
      <c r="E25" s="253"/>
      <c r="F25" s="253"/>
    </row>
    <row r="26" spans="1:6">
      <c r="A26" s="258" t="s">
        <v>708</v>
      </c>
      <c r="B26" s="440">
        <v>-37683</v>
      </c>
      <c r="C26" s="440">
        <v>-15905</v>
      </c>
      <c r="D26" s="440">
        <f>B26-C26</f>
        <v>-21778</v>
      </c>
      <c r="E26" s="253"/>
      <c r="F26" s="253"/>
    </row>
    <row r="27" spans="1:6">
      <c r="A27" s="258" t="s">
        <v>709</v>
      </c>
      <c r="B27" s="440">
        <v>0</v>
      </c>
      <c r="C27" s="440">
        <v>1903</v>
      </c>
      <c r="D27" s="440">
        <f>B27-C27</f>
        <v>-1903</v>
      </c>
      <c r="E27" s="253"/>
      <c r="F27" s="253"/>
    </row>
    <row r="28" spans="1:6">
      <c r="A28" s="258" t="s">
        <v>710</v>
      </c>
      <c r="B28" s="440">
        <v>86</v>
      </c>
      <c r="C28" s="440">
        <v>0</v>
      </c>
      <c r="D28" s="440">
        <f>B28-C28</f>
        <v>86</v>
      </c>
      <c r="E28" s="253"/>
      <c r="F28" s="253"/>
    </row>
    <row r="29" spans="1:6">
      <c r="A29" s="258"/>
      <c r="B29" s="258"/>
      <c r="C29" s="258"/>
      <c r="D29" s="258"/>
      <c r="E29" s="253"/>
      <c r="F29" s="253"/>
    </row>
    <row r="30" spans="1:6">
      <c r="A30" s="256" t="s">
        <v>711</v>
      </c>
      <c r="B30" s="473">
        <f>B31+B35</f>
        <v>-43498</v>
      </c>
      <c r="C30" s="473">
        <f>C31+C35</f>
        <v>-44996</v>
      </c>
      <c r="D30" s="473">
        <f>B30-C30</f>
        <v>1498</v>
      </c>
      <c r="E30" s="253"/>
      <c r="F30" s="253"/>
    </row>
    <row r="31" spans="1:6">
      <c r="A31" s="476" t="s">
        <v>712</v>
      </c>
      <c r="B31" s="477">
        <f>SUM(B32:B34)</f>
        <v>-43498</v>
      </c>
      <c r="C31" s="477">
        <f>SUM(C32:C34)</f>
        <v>-45009</v>
      </c>
      <c r="D31" s="477">
        <f>B31-C31</f>
        <v>1511</v>
      </c>
      <c r="E31" s="253"/>
      <c r="F31" s="253"/>
    </row>
    <row r="32" spans="1:6">
      <c r="A32" s="258" t="s">
        <v>713</v>
      </c>
      <c r="B32" s="440">
        <v>-575</v>
      </c>
      <c r="C32" s="440">
        <v>-259</v>
      </c>
      <c r="D32" s="440">
        <f>B32-C32</f>
        <v>-316</v>
      </c>
      <c r="E32" s="253"/>
      <c r="F32" s="253"/>
    </row>
    <row r="33" spans="1:6">
      <c r="A33" s="258" t="s">
        <v>714</v>
      </c>
      <c r="B33" s="440">
        <v>-42921</v>
      </c>
      <c r="C33" s="440">
        <v>-44425</v>
      </c>
      <c r="D33" s="440">
        <f>B33-C33</f>
        <v>1504</v>
      </c>
      <c r="E33" s="253"/>
      <c r="F33" s="253"/>
    </row>
    <row r="34" spans="1:6">
      <c r="A34" s="258" t="s">
        <v>715</v>
      </c>
      <c r="B34" s="440">
        <v>-2</v>
      </c>
      <c r="C34" s="440">
        <v>-325</v>
      </c>
      <c r="D34" s="440">
        <f>B34-C34</f>
        <v>323</v>
      </c>
      <c r="E34" s="253"/>
      <c r="F34" s="253"/>
    </row>
    <row r="35" spans="1:6">
      <c r="A35" s="258" t="s">
        <v>716</v>
      </c>
      <c r="B35" s="440">
        <v>0</v>
      </c>
      <c r="C35" s="440">
        <v>13</v>
      </c>
      <c r="D35" s="440">
        <f>B35-C35</f>
        <v>-13</v>
      </c>
      <c r="E35" s="253"/>
      <c r="F35" s="253"/>
    </row>
    <row r="36" spans="1:6">
      <c r="A36" s="259" t="s">
        <v>717</v>
      </c>
      <c r="B36" s="464">
        <v>0</v>
      </c>
      <c r="C36" s="464">
        <v>-3</v>
      </c>
      <c r="D36" s="464">
        <f>B36-C36</f>
        <v>3</v>
      </c>
      <c r="E36" s="253"/>
      <c r="F36" s="253"/>
    </row>
    <row r="37" spans="1:6">
      <c r="A37" s="259" t="s">
        <v>718</v>
      </c>
      <c r="B37" s="464">
        <f>SUM(B38:B41)</f>
        <v>91635</v>
      </c>
      <c r="C37" s="464">
        <f>SUM(C38:C41)</f>
        <v>125826</v>
      </c>
      <c r="D37" s="464">
        <f>B37-C37</f>
        <v>-34191</v>
      </c>
      <c r="E37" s="253"/>
      <c r="F37" s="253"/>
    </row>
    <row r="38" spans="1:6">
      <c r="A38" s="259" t="s">
        <v>719</v>
      </c>
      <c r="B38" s="464">
        <v>4389</v>
      </c>
      <c r="C38" s="464">
        <v>76066</v>
      </c>
      <c r="D38" s="464">
        <f>B38-C38</f>
        <v>-71677</v>
      </c>
      <c r="E38" s="253"/>
      <c r="F38" s="253"/>
    </row>
    <row r="39" spans="1:6">
      <c r="A39" s="259" t="s">
        <v>720</v>
      </c>
      <c r="B39" s="464">
        <v>84082</v>
      </c>
      <c r="C39" s="464">
        <v>48902</v>
      </c>
      <c r="D39" s="464">
        <f>B39-C39</f>
        <v>35180</v>
      </c>
      <c r="E39" s="253"/>
      <c r="F39" s="253"/>
    </row>
    <row r="40" spans="1:6">
      <c r="A40" s="259" t="s">
        <v>721</v>
      </c>
      <c r="B40" s="464">
        <v>3164</v>
      </c>
      <c r="C40" s="464">
        <v>870</v>
      </c>
      <c r="D40" s="464">
        <f>B40-C40</f>
        <v>2294</v>
      </c>
      <c r="E40" s="253"/>
      <c r="F40" s="253"/>
    </row>
    <row r="41" spans="1:6">
      <c r="A41" s="259" t="s">
        <v>722</v>
      </c>
      <c r="B41" s="464">
        <v>0</v>
      </c>
      <c r="C41" s="464">
        <v>-12</v>
      </c>
      <c r="D41" s="464">
        <f>B41-C41</f>
        <v>12</v>
      </c>
      <c r="E41" s="253"/>
      <c r="F41" s="253"/>
    </row>
    <row r="42" spans="1:6">
      <c r="A42" s="465"/>
      <c r="B42" s="466"/>
      <c r="C42" s="466"/>
      <c r="D42" s="466"/>
      <c r="E42" s="253"/>
      <c r="F42" s="253"/>
    </row>
    <row r="43" spans="1:6">
      <c r="A43" s="259"/>
      <c r="B43" s="464"/>
      <c r="C43" s="464"/>
      <c r="D43" s="464"/>
      <c r="E43" s="253"/>
      <c r="F43" s="253"/>
    </row>
    <row r="44" spans="1:6">
      <c r="A44" s="474" t="s">
        <v>723</v>
      </c>
      <c r="B44" s="475">
        <f>B36+B37</f>
        <v>91635</v>
      </c>
      <c r="C44" s="475">
        <f>C36+C37</f>
        <v>125823</v>
      </c>
      <c r="D44" s="475">
        <f>B44-C44</f>
        <v>-34188</v>
      </c>
      <c r="E44" s="253"/>
      <c r="F44" s="253"/>
    </row>
    <row r="45" spans="1:6">
      <c r="A45" s="481" t="s">
        <v>724</v>
      </c>
      <c r="B45" s="480">
        <f>B6+B30+B44</f>
        <v>1566</v>
      </c>
      <c r="C45" s="480">
        <f>C6+C30+C44</f>
        <v>0</v>
      </c>
      <c r="D45" s="480">
        <f>B45-C45</f>
        <v>1566</v>
      </c>
      <c r="E45" s="253"/>
      <c r="F45" s="253"/>
    </row>
    <row r="46" spans="1:6">
      <c r="A46" s="459" t="s">
        <v>725</v>
      </c>
      <c r="B46" s="463">
        <v>1275</v>
      </c>
      <c r="C46" s="463">
        <v>1275</v>
      </c>
      <c r="D46" s="463">
        <f>B46-C46</f>
        <v>0</v>
      </c>
      <c r="E46" s="253"/>
      <c r="F46" s="253"/>
    </row>
    <row r="47" spans="1:6">
      <c r="A47" s="482" t="s">
        <v>726</v>
      </c>
      <c r="B47" s="483">
        <f>B45+B46</f>
        <v>2841</v>
      </c>
      <c r="C47" s="483">
        <f>C45+C46</f>
        <v>1275</v>
      </c>
      <c r="D47" s="483">
        <f>B47-C47</f>
        <v>1566</v>
      </c>
      <c r="E47" s="253"/>
      <c r="F47" s="253"/>
    </row>
    <row r="48" spans="1:6" ht="67.5">
      <c r="A48" s="543" t="s">
        <v>727</v>
      </c>
      <c r="B48" s="471"/>
      <c r="C48" s="471"/>
      <c r="D48" s="471"/>
      <c r="E48" s="253"/>
      <c r="F48" s="253"/>
    </row>
    <row r="49" spans="1:6">
      <c r="A49" s="256" t="s">
        <v>728</v>
      </c>
      <c r="B49" s="256"/>
      <c r="C49" s="256"/>
      <c r="D49" s="256"/>
      <c r="E49" s="253"/>
      <c r="F49" s="253"/>
    </row>
    <row r="50" spans="1:6">
      <c r="A50" s="258"/>
      <c r="B50" s="258"/>
      <c r="C50" s="258"/>
      <c r="D50" s="258"/>
      <c r="E50" s="253"/>
      <c r="F50" s="253"/>
    </row>
    <row r="51" spans="1:6">
      <c r="A51" s="435" t="s">
        <v>729</v>
      </c>
      <c r="B51" s="472">
        <v>2023</v>
      </c>
      <c r="C51" s="472">
        <v>2022</v>
      </c>
      <c r="D51" s="472" t="s">
        <v>730</v>
      </c>
      <c r="E51" s="253"/>
      <c r="F51" s="253"/>
    </row>
    <row r="52" spans="1:6">
      <c r="A52" s="459" t="s">
        <v>731</v>
      </c>
      <c r="B52" s="463">
        <f>'CUENTA DE PÉRDIDAS Y GANANCIAS'!C37+B9+B13</f>
        <v>-188562</v>
      </c>
      <c r="C52" s="463">
        <f>'CUENTA DE PÉRDIDAS Y GANANCIAS'!D37+C9+C13</f>
        <v>-39993</v>
      </c>
      <c r="D52" s="463">
        <f>B52-C52</f>
        <v>-148569</v>
      </c>
      <c r="E52" s="253"/>
      <c r="F52" s="253"/>
    </row>
    <row r="53" spans="1:6">
      <c r="A53" s="258" t="s">
        <v>732</v>
      </c>
      <c r="B53" s="440">
        <f>B19</f>
        <v>200444</v>
      </c>
      <c r="C53" s="440">
        <f>C19</f>
        <v>-61912</v>
      </c>
      <c r="D53" s="440">
        <f>B53-C53</f>
        <v>262356</v>
      </c>
      <c r="E53" s="253"/>
      <c r="F53" s="253"/>
    </row>
    <row r="54" spans="1:6">
      <c r="A54" s="258" t="s">
        <v>733</v>
      </c>
      <c r="B54" s="440">
        <f>B28</f>
        <v>86</v>
      </c>
      <c r="C54" s="440">
        <f>C28</f>
        <v>0</v>
      </c>
      <c r="D54" s="440">
        <f>B54-C54</f>
        <v>86</v>
      </c>
      <c r="E54" s="253"/>
      <c r="F54" s="253"/>
    </row>
    <row r="55" spans="1:6">
      <c r="A55" s="460" t="s">
        <v>734</v>
      </c>
      <c r="B55" s="467">
        <f>B26+B27</f>
        <v>-37683</v>
      </c>
      <c r="C55" s="467">
        <f>C26+C27</f>
        <v>-14002</v>
      </c>
      <c r="D55" s="467">
        <f>B55-C55</f>
        <v>-23681</v>
      </c>
      <c r="E55" s="253"/>
      <c r="F55" s="253"/>
    </row>
    <row r="56" spans="1:6">
      <c r="A56" s="474" t="s">
        <v>735</v>
      </c>
      <c r="B56" s="475">
        <f>B6</f>
        <v>-46571</v>
      </c>
      <c r="C56" s="475">
        <f>C6</f>
        <v>-80827</v>
      </c>
      <c r="D56" s="475">
        <f>B56-C56</f>
        <v>34256</v>
      </c>
      <c r="E56" s="253"/>
      <c r="F56" s="253"/>
    </row>
    <row r="57" spans="1:6">
      <c r="A57" s="460" t="s">
        <v>736</v>
      </c>
      <c r="B57" s="467">
        <f>B30</f>
        <v>-43498</v>
      </c>
      <c r="C57" s="467">
        <f>C30</f>
        <v>-44996</v>
      </c>
      <c r="D57" s="467">
        <f>B57-C57</f>
        <v>1498</v>
      </c>
      <c r="E57" s="253"/>
      <c r="F57" s="253"/>
    </row>
    <row r="58" spans="1:6">
      <c r="A58" s="474" t="s">
        <v>737</v>
      </c>
      <c r="B58" s="475">
        <f>B56+B57</f>
        <v>-90069</v>
      </c>
      <c r="C58" s="475">
        <f>C56+C57</f>
        <v>-125823</v>
      </c>
      <c r="D58" s="475">
        <f>B58-C58</f>
        <v>35754</v>
      </c>
      <c r="E58" s="253"/>
      <c r="F58" s="253"/>
    </row>
    <row r="59" spans="1:6">
      <c r="A59" s="460" t="s">
        <v>738</v>
      </c>
      <c r="B59" s="467">
        <f>B44</f>
        <v>91635</v>
      </c>
      <c r="C59" s="467">
        <f>C44</f>
        <v>125823</v>
      </c>
      <c r="D59" s="467">
        <f>B59-C59</f>
        <v>-34188</v>
      </c>
      <c r="E59" s="253"/>
      <c r="F59" s="253"/>
    </row>
    <row r="60" spans="1:6">
      <c r="A60" s="479" t="s">
        <v>739</v>
      </c>
      <c r="B60" s="480">
        <f>B58+B59</f>
        <v>1566</v>
      </c>
      <c r="C60" s="480">
        <f>C58+C59</f>
        <v>0</v>
      </c>
      <c r="D60" s="480">
        <f>B60-C60</f>
        <v>1566</v>
      </c>
      <c r="E60" s="253"/>
      <c r="F60" s="253"/>
    </row>
    <row r="61" spans="1:6">
      <c r="A61" s="468"/>
      <c r="B61" s="469"/>
      <c r="C61" s="469"/>
      <c r="D61" s="469"/>
      <c r="E61" s="253"/>
      <c r="F61" s="253"/>
    </row>
    <row r="62" spans="1:6">
      <c r="A62" s="258"/>
      <c r="B62" s="258"/>
      <c r="C62" s="258"/>
      <c r="D62" s="258"/>
      <c r="E62" s="253"/>
      <c r="F62" s="253"/>
    </row>
    <row r="63" spans="1:6">
      <c r="A63" s="258"/>
      <c r="B63" s="258"/>
      <c r="C63" s="258"/>
      <c r="D63" s="258"/>
      <c r="E63" s="253"/>
      <c r="F63" s="253"/>
    </row>
    <row r="64" spans="1:6">
      <c r="A64" s="256" t="s">
        <v>740</v>
      </c>
      <c r="B64" s="256"/>
      <c r="C64" s="256"/>
      <c r="D64" s="256"/>
      <c r="E64" s="253"/>
      <c r="F64" s="253"/>
    </row>
    <row r="65" spans="1:6">
      <c r="A65" s="258"/>
      <c r="B65" s="258"/>
      <c r="C65" s="258"/>
      <c r="D65" s="258"/>
      <c r="E65" s="253"/>
      <c r="F65" s="253"/>
    </row>
    <row r="66" spans="1:6">
      <c r="A66" s="484" t="s">
        <v>741</v>
      </c>
      <c r="B66" s="471"/>
      <c r="C66" s="471"/>
      <c r="D66" s="471"/>
      <c r="E66" s="253"/>
      <c r="F66" s="253"/>
    </row>
    <row r="67" spans="1:6" ht="53.25">
      <c r="A67" s="544" t="s">
        <v>742</v>
      </c>
      <c r="B67" s="471"/>
      <c r="C67" s="471"/>
      <c r="D67" s="471"/>
      <c r="E67" s="253"/>
      <c r="F67" s="253"/>
    </row>
    <row r="68" spans="1:6">
      <c r="A68" s="258"/>
      <c r="B68" s="258"/>
      <c r="C68" s="258"/>
      <c r="D68" s="258"/>
      <c r="E68" s="253"/>
      <c r="F68" s="253"/>
    </row>
    <row r="69" spans="1:6">
      <c r="A69" s="484" t="s">
        <v>743</v>
      </c>
      <c r="B69" s="471"/>
      <c r="C69" s="471"/>
      <c r="D69" s="471"/>
      <c r="E69" s="253"/>
      <c r="F69" s="253"/>
    </row>
    <row r="70" spans="1:6" ht="40.5">
      <c r="A70" s="544" t="s">
        <v>744</v>
      </c>
      <c r="B70" s="471"/>
      <c r="C70" s="471"/>
      <c r="D70" s="471"/>
      <c r="E70" s="253"/>
      <c r="F70" s="253"/>
    </row>
    <row r="71" spans="1:6">
      <c r="A71" s="258"/>
      <c r="B71" s="258"/>
      <c r="C71" s="258"/>
      <c r="D71" s="258"/>
      <c r="E71" s="253"/>
      <c r="F71" s="253"/>
    </row>
    <row r="72" spans="1:6">
      <c r="A72" s="484" t="s">
        <v>745</v>
      </c>
      <c r="B72" s="471"/>
      <c r="C72" s="471"/>
      <c r="D72" s="471"/>
      <c r="E72" s="253"/>
      <c r="F72" s="253"/>
    </row>
    <row r="73" spans="1:6" ht="53.25">
      <c r="A73" s="544" t="s">
        <v>746</v>
      </c>
      <c r="B73" s="471"/>
      <c r="C73" s="471"/>
      <c r="D73" s="471"/>
      <c r="E73" s="253"/>
      <c r="F73" s="253"/>
    </row>
    <row r="74" spans="1:6">
      <c r="A74" s="258"/>
      <c r="B74" s="258"/>
      <c r="C74" s="258"/>
      <c r="D74" s="258"/>
      <c r="E74" s="253"/>
      <c r="F74" s="253"/>
    </row>
    <row r="75" spans="1:6">
      <c r="A75" s="484" t="s">
        <v>747</v>
      </c>
      <c r="B75" s="471"/>
      <c r="C75" s="471"/>
      <c r="D75" s="471"/>
      <c r="E75" s="253"/>
      <c r="F75" s="253"/>
    </row>
    <row r="76" spans="1:6" ht="40.5">
      <c r="A76" s="544" t="s">
        <v>748</v>
      </c>
      <c r="B76" s="471"/>
      <c r="C76" s="471"/>
      <c r="D76" s="471"/>
      <c r="E76" s="253"/>
      <c r="F76" s="253"/>
    </row>
    <row r="77" spans="1:6">
      <c r="A77" s="258"/>
      <c r="B77" s="258"/>
      <c r="C77" s="258"/>
      <c r="D77" s="258"/>
      <c r="E77" s="253"/>
      <c r="F77" s="253"/>
    </row>
    <row r="78" spans="1:6">
      <c r="A78" s="485" t="s">
        <v>749</v>
      </c>
      <c r="B78" s="471"/>
      <c r="C78" s="471"/>
      <c r="D78" s="471"/>
      <c r="E78" s="253"/>
      <c r="F78" s="253"/>
    </row>
    <row r="79" spans="1:6" ht="53.25">
      <c r="A79" s="544" t="s">
        <v>750</v>
      </c>
      <c r="B79" s="471"/>
      <c r="C79" s="471"/>
      <c r="D79" s="471"/>
      <c r="E79" s="253"/>
      <c r="F79" s="253"/>
    </row>
    <row r="80" spans="1:6">
      <c r="A80" s="258"/>
      <c r="B80" s="258"/>
      <c r="C80" s="258"/>
      <c r="D80" s="258"/>
      <c r="E80" s="253"/>
      <c r="F80" s="253"/>
    </row>
    <row r="81" spans="1:6">
      <c r="A81" s="258"/>
      <c r="B81" s="258"/>
      <c r="C81" s="258"/>
      <c r="D81" s="258"/>
      <c r="E81" s="253"/>
      <c r="F81" s="253"/>
    </row>
    <row r="82" spans="1:6">
      <c r="A82" s="256" t="s">
        <v>751</v>
      </c>
      <c r="B82" s="256"/>
      <c r="C82" s="256"/>
      <c r="D82" s="256"/>
      <c r="E82" s="253"/>
      <c r="F82" s="253"/>
    </row>
    <row r="83" spans="1:6">
      <c r="A83" s="258"/>
      <c r="B83" s="258"/>
      <c r="C83" s="258"/>
      <c r="D83" s="258"/>
      <c r="E83" s="253"/>
      <c r="F83" s="253"/>
    </row>
    <row r="84" spans="1:6">
      <c r="A84" s="435" t="s">
        <v>752</v>
      </c>
      <c r="B84" s="472">
        <v>2023</v>
      </c>
      <c r="C84" s="472">
        <v>2022</v>
      </c>
      <c r="D84" s="435" t="s">
        <v>580</v>
      </c>
      <c r="E84" s="253"/>
      <c r="F84" s="253"/>
    </row>
    <row r="85" spans="1:6" ht="53.25">
      <c r="A85" s="258" t="s">
        <v>753</v>
      </c>
      <c r="B85" s="470">
        <f>B56/'CUENTA DE PÉRDIDAS Y GANANCIAS'!C4</f>
        <v>-3.5467317762674894E-2</v>
      </c>
      <c r="C85" s="470">
        <f>C56/'CUENTA DE PÉRDIDAS Y GANANCIAS'!D4</f>
        <v>-4.2258594764612509E-2</v>
      </c>
      <c r="D85" s="545" t="s">
        <v>754</v>
      </c>
      <c r="E85" s="253"/>
      <c r="F85" s="253"/>
    </row>
    <row r="86" spans="1:6" ht="69">
      <c r="A86" s="258" t="s">
        <v>755</v>
      </c>
      <c r="B86" s="470">
        <f>B52/'CUENTA DE PÉRDIDAS Y GANANCIAS'!C4</f>
        <v>-0.14360413931342475</v>
      </c>
      <c r="C86" s="470">
        <f>C52/'CUENTA DE PÉRDIDAS Y GANANCIAS'!D4</f>
        <v>-2.0909448333120716E-2</v>
      </c>
      <c r="D86" s="545" t="s">
        <v>756</v>
      </c>
      <c r="E86" s="253"/>
      <c r="F86" s="253"/>
    </row>
    <row r="87" spans="1:6" ht="40.5">
      <c r="A87" s="258" t="s">
        <v>757</v>
      </c>
      <c r="B87" s="470">
        <f>IFERROR(B58/B56,"n/a")</f>
        <v>1.9340147301969037</v>
      </c>
      <c r="C87" s="470">
        <f>IFERROR(C58/C56,"n/a")</f>
        <v>1.5566951637447883</v>
      </c>
      <c r="D87" s="545" t="s">
        <v>758</v>
      </c>
      <c r="E87" s="253"/>
      <c r="F87" s="253"/>
    </row>
    <row r="88" spans="1:6" ht="42">
      <c r="A88" s="258" t="s">
        <v>759</v>
      </c>
      <c r="B88" s="461">
        <f>IFERROR((B56-B55)/ABS(B55),"n/a")</f>
        <v>-0.23586232518642358</v>
      </c>
      <c r="C88" s="461">
        <f>IFERROR((C56-C55)/ABS(C55),"n/a")</f>
        <v>-4.7725324953578063</v>
      </c>
      <c r="D88" s="545" t="s">
        <v>760</v>
      </c>
      <c r="E88" s="253"/>
      <c r="F88" s="253"/>
    </row>
    <row r="89" spans="1:6" ht="55.5">
      <c r="A89" s="258" t="s">
        <v>761</v>
      </c>
      <c r="B89" s="470">
        <f>IFERROR(B56/ABS(B57),"n/a")</f>
        <v>-1.0706469262954619</v>
      </c>
      <c r="C89" s="470">
        <f>IFERROR(C56/ABS(C57),"n/a")</f>
        <v>-1.7963152280202686</v>
      </c>
      <c r="D89" s="545" t="s">
        <v>762</v>
      </c>
      <c r="E89" s="253"/>
      <c r="F89" s="253"/>
    </row>
    <row r="90" spans="1:6" ht="81">
      <c r="A90" s="258" t="s">
        <v>763</v>
      </c>
      <c r="B90" s="470">
        <f>IFERROR(B44/(ABS(B6)+ABS(B30)),"n/a")</f>
        <v>1.0173866702194985</v>
      </c>
      <c r="C90" s="470">
        <f>IFERROR(C44/(ABS(C6)+ABS(C30)),"n/a")</f>
        <v>1</v>
      </c>
      <c r="D90" s="545" t="s">
        <v>764</v>
      </c>
      <c r="E90" s="253"/>
      <c r="F90" s="253"/>
    </row>
    <row r="91" spans="1:6" ht="55.5">
      <c r="A91" s="258" t="s">
        <v>765</v>
      </c>
      <c r="B91" s="462">
        <f>'BALANCE DE SITUACIÓN'!C76/'BALANCE DE SITUACIÓN'!C79</f>
        <v>3.0189822117261504E-3</v>
      </c>
      <c r="C91" s="462">
        <f>'BALANCE DE SITUACIÓN'!D76/'BALANCE DE SITUACIÓN'!D79</f>
        <v>1.0679170090282959E-3</v>
      </c>
      <c r="D91" s="545" t="s">
        <v>766</v>
      </c>
      <c r="E91" s="253"/>
      <c r="F91" s="253"/>
    </row>
    <row r="92" spans="1:6">
      <c r="A92" s="258"/>
      <c r="B92" s="258"/>
      <c r="C92" s="258"/>
      <c r="D92" s="258"/>
      <c r="E92" s="253"/>
      <c r="F92" s="253"/>
    </row>
    <row r="93" spans="1:6">
      <c r="A93" s="258"/>
      <c r="B93" s="258"/>
      <c r="C93" s="258"/>
      <c r="D93" s="258"/>
      <c r="E93" s="253"/>
      <c r="F93" s="253"/>
    </row>
    <row r="94" spans="1:6">
      <c r="A94" s="256" t="s">
        <v>767</v>
      </c>
      <c r="B94" s="253"/>
      <c r="C94" s="253"/>
      <c r="D94" s="253"/>
      <c r="E94" s="253"/>
      <c r="F94" s="253"/>
    </row>
    <row r="95" spans="1:6">
      <c r="A95" s="258"/>
      <c r="B95" s="253"/>
      <c r="C95" s="253"/>
      <c r="D95" s="253"/>
      <c r="E95" s="253"/>
      <c r="F95" s="253"/>
    </row>
    <row r="96" spans="1:6">
      <c r="A96" s="460" t="s">
        <v>768</v>
      </c>
      <c r="B96" s="253"/>
      <c r="C96" s="253"/>
      <c r="D96" s="253"/>
      <c r="E96" s="253"/>
      <c r="F96" s="253"/>
    </row>
    <row r="97" spans="1:6" ht="40.5">
      <c r="A97" s="544" t="s">
        <v>769</v>
      </c>
      <c r="B97" s="253"/>
      <c r="C97" s="253"/>
      <c r="D97" s="253"/>
      <c r="E97" s="253"/>
      <c r="F97" s="253"/>
    </row>
    <row r="98" spans="1:6" ht="27">
      <c r="A98" s="544" t="s">
        <v>770</v>
      </c>
      <c r="B98" s="253"/>
      <c r="C98" s="253"/>
      <c r="D98" s="253"/>
      <c r="E98" s="253"/>
      <c r="F98" s="253"/>
    </row>
    <row r="99" spans="1:6" ht="40.5">
      <c r="A99" s="544" t="s">
        <v>771</v>
      </c>
      <c r="B99" s="253"/>
      <c r="C99" s="253"/>
      <c r="D99" s="253"/>
      <c r="E99" s="253"/>
      <c r="F99" s="253"/>
    </row>
    <row r="100" spans="1:6" ht="27">
      <c r="A100" s="544" t="s">
        <v>772</v>
      </c>
      <c r="B100" s="253"/>
      <c r="C100" s="253"/>
      <c r="D100" s="253"/>
      <c r="E100" s="253"/>
      <c r="F100" s="253"/>
    </row>
    <row r="101" spans="1:6" ht="40.5">
      <c r="A101" s="544" t="s">
        <v>773</v>
      </c>
      <c r="B101" s="253"/>
      <c r="C101" s="253"/>
      <c r="D101" s="253"/>
      <c r="E101" s="253" t="s">
        <v>774</v>
      </c>
      <c r="F101" s="253"/>
    </row>
    <row r="102" spans="1:6">
      <c r="A102" s="258"/>
      <c r="B102" s="253"/>
      <c r="C102" s="253"/>
      <c r="D102" s="253"/>
      <c r="E102" s="253"/>
      <c r="F102" s="253"/>
    </row>
    <row r="103" spans="1:6">
      <c r="A103" s="460" t="s">
        <v>610</v>
      </c>
      <c r="B103" s="253"/>
      <c r="C103" s="253"/>
      <c r="D103" s="253"/>
      <c r="E103" s="253"/>
      <c r="F103" s="253"/>
    </row>
    <row r="104" spans="1:6" ht="53.25">
      <c r="A104" s="546" t="s">
        <v>775</v>
      </c>
      <c r="B104" s="253"/>
      <c r="C104" s="253"/>
      <c r="D104" s="253"/>
      <c r="E104" s="253"/>
      <c r="F104" s="253"/>
    </row>
    <row r="105" spans="1:6">
      <c r="A105" s="471" t="s">
        <v>776</v>
      </c>
      <c r="B105" s="253"/>
      <c r="C105" s="253"/>
      <c r="D105" s="253"/>
      <c r="E105" s="253"/>
      <c r="F105" s="253"/>
    </row>
    <row r="106" spans="1:6">
      <c r="A106" s="471" t="s">
        <v>777</v>
      </c>
      <c r="B106" s="253"/>
      <c r="C106" s="253"/>
      <c r="D106" s="253"/>
      <c r="E106" s="253"/>
      <c r="F106" s="253"/>
    </row>
    <row r="107" spans="1:6">
      <c r="A107" s="471" t="s">
        <v>778</v>
      </c>
      <c r="B107" s="253"/>
      <c r="C107" s="253"/>
      <c r="D107" s="253"/>
      <c r="E107" s="253"/>
      <c r="F107" s="253"/>
    </row>
    <row r="108" spans="1:6">
      <c r="A108" s="471" t="s">
        <v>779</v>
      </c>
      <c r="B108" s="253"/>
      <c r="C108" s="253"/>
      <c r="D108" s="253"/>
      <c r="E108" s="253"/>
      <c r="F108" s="253"/>
    </row>
    <row r="109" spans="1:6">
      <c r="A109" s="253"/>
      <c r="B109" s="253"/>
      <c r="C109" s="253"/>
      <c r="D109" s="253"/>
      <c r="E109" s="253"/>
      <c r="F109" s="253"/>
    </row>
    <row r="110" spans="1:6">
      <c r="A110" s="253"/>
      <c r="B110" s="253"/>
      <c r="C110" s="253"/>
      <c r="D110" s="253"/>
      <c r="E110" s="253"/>
      <c r="F110" s="253"/>
    </row>
    <row r="111" spans="1:6">
      <c r="A111" s="253"/>
      <c r="B111" s="253"/>
      <c r="C111" s="253"/>
      <c r="D111" s="253"/>
      <c r="E111" s="253"/>
      <c r="F111" s="253"/>
    </row>
    <row r="112" spans="1:6">
      <c r="A112" s="253"/>
      <c r="B112" s="253"/>
      <c r="C112" s="253"/>
      <c r="D112" s="253"/>
      <c r="E112" s="253"/>
      <c r="F112" s="253"/>
    </row>
    <row r="113" spans="1:6">
      <c r="A113" s="253"/>
      <c r="B113" s="253"/>
      <c r="C113" s="253"/>
      <c r="D113" s="253"/>
      <c r="E113" s="253"/>
      <c r="F113" s="253"/>
    </row>
    <row r="114" spans="1:6">
      <c r="A114" s="253"/>
      <c r="B114" s="253"/>
      <c r="C114" s="253"/>
      <c r="D114" s="253"/>
      <c r="E114" s="253"/>
      <c r="F114" s="253"/>
    </row>
    <row r="115" spans="1:6">
      <c r="A115" s="253"/>
      <c r="B115" s="253"/>
      <c r="C115" s="253"/>
      <c r="D115" s="253"/>
      <c r="E115" s="253"/>
      <c r="F115" s="253"/>
    </row>
    <row r="116" spans="1:6">
      <c r="A116" s="253"/>
      <c r="B116" s="253"/>
      <c r="C116" s="253"/>
      <c r="D116" s="253"/>
      <c r="E116" s="253"/>
      <c r="F116" s="253"/>
    </row>
    <row r="117" spans="1:6">
      <c r="A117" s="253"/>
      <c r="B117" s="253"/>
      <c r="C117" s="253"/>
      <c r="D117" s="253"/>
      <c r="E117" s="253"/>
      <c r="F117" s="253"/>
    </row>
    <row r="118" spans="1:6">
      <c r="A118" s="253"/>
      <c r="B118" s="253"/>
      <c r="C118" s="253"/>
      <c r="D118" s="253"/>
      <c r="E118" s="253"/>
      <c r="F118" s="253"/>
    </row>
    <row r="119" spans="1:6">
      <c r="A119" s="253"/>
      <c r="B119" s="253"/>
      <c r="C119" s="253"/>
      <c r="D119" s="253"/>
      <c r="E119" s="253"/>
      <c r="F119" s="253"/>
    </row>
    <row r="120" spans="1:6">
      <c r="A120" s="253"/>
      <c r="B120" s="253"/>
      <c r="C120" s="253"/>
      <c r="D120" s="253"/>
      <c r="E120" s="253"/>
      <c r="F120" s="253"/>
    </row>
    <row r="121" spans="1:6">
      <c r="A121" s="253"/>
      <c r="B121" s="253"/>
      <c r="C121" s="253"/>
      <c r="D121" s="253"/>
      <c r="E121" s="253"/>
      <c r="F121" s="253"/>
    </row>
    <row r="122" spans="1:6">
      <c r="A122" s="253"/>
      <c r="B122" s="253"/>
      <c r="C122" s="253"/>
      <c r="D122" s="253"/>
      <c r="E122" s="253"/>
      <c r="F122" s="253"/>
    </row>
    <row r="123" spans="1:6">
      <c r="A123" s="253"/>
      <c r="B123" s="253"/>
      <c r="C123" s="253"/>
      <c r="D123" s="253"/>
      <c r="E123" s="253"/>
      <c r="F123" s="253"/>
    </row>
    <row r="124" spans="1:6">
      <c r="A124" s="253"/>
      <c r="B124" s="253"/>
      <c r="C124" s="253"/>
      <c r="D124" s="253"/>
      <c r="E124" s="253"/>
      <c r="F124" s="253"/>
    </row>
    <row r="125" spans="1:6">
      <c r="A125" s="253"/>
      <c r="B125" s="253"/>
      <c r="C125" s="253"/>
      <c r="D125" s="253"/>
      <c r="E125" s="253"/>
      <c r="F125" s="253"/>
    </row>
    <row r="126" spans="1:6">
      <c r="A126" s="253"/>
      <c r="B126" s="253"/>
      <c r="C126" s="253"/>
      <c r="D126" s="253"/>
      <c r="E126" s="253"/>
      <c r="F126" s="253"/>
    </row>
    <row r="127" spans="1:6">
      <c r="A127" s="253"/>
      <c r="B127" s="253"/>
      <c r="C127" s="253"/>
      <c r="D127" s="253"/>
      <c r="E127" s="253"/>
      <c r="F127" s="2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2026-02-20T12:56:23Z</dcterms:created>
  <dcterms:modified xsi:type="dcterms:W3CDTF">2026-05-27T09:29:58Z</dcterms:modified>
  <cp:category/>
  <cp:contentStatus/>
</cp:coreProperties>
</file>