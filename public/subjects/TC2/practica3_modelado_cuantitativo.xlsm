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831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javic\Desktop\"/>
    </mc:Choice>
  </mc:AlternateContent>
  <xr:revisionPtr revIDLastSave="0" documentId="13_ncr:1_{009FCE3C-F745-4DC8-ACC9-AA2F556BB2DF}" xr6:coauthVersionLast="47" xr6:coauthVersionMax="47" xr10:uidLastSave="{00000000-0000-0000-0000-000000000000}"/>
  <bookViews>
    <workbookView xWindow="-120" yWindow="-120" windowWidth="29040" windowHeight="16440" activeTab="3" xr2:uid="{00000000-000D-0000-FFFF-FFFF00000000}"/>
  </bookViews>
  <sheets>
    <sheet name="Deuda Externa Neta" sheetId="1" r:id="rId1"/>
    <sheet name="Productividadporhoratrabajada" sheetId="2" r:id="rId2"/>
    <sheet name="TipodecambiofrentealEuro BDE" sheetId="4" r:id="rId3"/>
    <sheet name="Hoja4" sheetId="9" r:id="rId4"/>
    <sheet name="Hojaparapruebas" sheetId="13" r:id="rId5"/>
    <sheet name="Cruzado" sheetId="14" r:id="rId6"/>
    <sheet name="Ejesecundario" sheetId="15" r:id="rId7"/>
    <sheet name="Baumol y Tobin " sheetId="16" r:id="rId8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309" i="4" l="1"/>
  <c r="D309" i="4"/>
  <c r="E309" i="4"/>
  <c r="F309" i="4"/>
  <c r="G309" i="4"/>
  <c r="H309" i="4"/>
  <c r="I309" i="4"/>
  <c r="J309" i="4"/>
  <c r="K309" i="4"/>
  <c r="L309" i="4"/>
  <c r="M309" i="4"/>
  <c r="N309" i="4"/>
  <c r="O309" i="4"/>
  <c r="P309" i="4"/>
  <c r="Q309" i="4"/>
  <c r="R309" i="4"/>
  <c r="S309" i="4"/>
  <c r="T309" i="4"/>
  <c r="U309" i="4"/>
  <c r="C308" i="4"/>
  <c r="D308" i="4"/>
  <c r="E308" i="4"/>
  <c r="F308" i="4"/>
  <c r="G308" i="4"/>
  <c r="H308" i="4"/>
  <c r="I308" i="4"/>
  <c r="J308" i="4"/>
  <c r="K308" i="4"/>
  <c r="L308" i="4"/>
  <c r="M308" i="4"/>
  <c r="N308" i="4"/>
  <c r="O308" i="4"/>
  <c r="P308" i="4"/>
  <c r="Q308" i="4"/>
  <c r="R308" i="4"/>
  <c r="S308" i="4"/>
  <c r="T308" i="4"/>
  <c r="U308" i="4"/>
  <c r="C307" i="4"/>
  <c r="D307" i="4"/>
  <c r="E307" i="4"/>
  <c r="F307" i="4"/>
  <c r="G307" i="4"/>
  <c r="H307" i="4"/>
  <c r="I307" i="4"/>
  <c r="J307" i="4"/>
  <c r="K307" i="4"/>
  <c r="L307" i="4"/>
  <c r="M307" i="4"/>
  <c r="N307" i="4"/>
  <c r="O307" i="4"/>
  <c r="P307" i="4"/>
  <c r="Q307" i="4"/>
  <c r="R307" i="4"/>
  <c r="S307" i="4"/>
  <c r="T307" i="4"/>
  <c r="U307" i="4"/>
  <c r="B309" i="4"/>
  <c r="B308" i="4"/>
  <c r="B307" i="4"/>
  <c r="I6" i="2"/>
  <c r="J6" i="2"/>
  <c r="K6" i="2"/>
  <c r="I7" i="2"/>
  <c r="J7" i="2"/>
  <c r="K7" i="2"/>
  <c r="I8" i="2"/>
  <c r="J8" i="2"/>
  <c r="K8" i="2"/>
  <c r="I9" i="2"/>
  <c r="J9" i="2"/>
  <c r="K9" i="2"/>
  <c r="I10" i="2"/>
  <c r="J10" i="2"/>
  <c r="K10" i="2"/>
  <c r="I11" i="2"/>
  <c r="J11" i="2"/>
  <c r="K11" i="2"/>
  <c r="I12" i="2"/>
  <c r="J12" i="2"/>
  <c r="K12" i="2"/>
  <c r="I13" i="2"/>
  <c r="J13" i="2"/>
  <c r="K13" i="2"/>
  <c r="I14" i="2"/>
  <c r="J14" i="2"/>
  <c r="K14" i="2"/>
  <c r="I15" i="2"/>
  <c r="J15" i="2"/>
  <c r="K15" i="2"/>
  <c r="I16" i="2"/>
  <c r="J16" i="2"/>
  <c r="K16" i="2"/>
  <c r="I17" i="2"/>
  <c r="J17" i="2"/>
  <c r="K17" i="2"/>
  <c r="I18" i="2"/>
  <c r="J18" i="2"/>
  <c r="K18" i="2"/>
  <c r="I19" i="2"/>
  <c r="J19" i="2"/>
  <c r="K19" i="2"/>
  <c r="I20" i="2"/>
  <c r="J20" i="2"/>
  <c r="K20" i="2"/>
  <c r="I21" i="2"/>
  <c r="J21" i="2"/>
  <c r="K21" i="2"/>
  <c r="I22" i="2"/>
  <c r="J22" i="2"/>
  <c r="K22" i="2"/>
  <c r="I23" i="2"/>
  <c r="J23" i="2"/>
  <c r="K23" i="2"/>
  <c r="I24" i="2"/>
  <c r="J24" i="2"/>
  <c r="K24" i="2"/>
  <c r="I25" i="2"/>
  <c r="J25" i="2"/>
  <c r="K25" i="2"/>
  <c r="I26" i="2"/>
  <c r="J26" i="2"/>
  <c r="K26" i="2"/>
  <c r="I27" i="2"/>
  <c r="J27" i="2"/>
  <c r="K27" i="2"/>
  <c r="I28" i="2"/>
  <c r="J28" i="2"/>
  <c r="K28" i="2"/>
  <c r="I29" i="2"/>
  <c r="J29" i="2"/>
  <c r="K29" i="2"/>
  <c r="I30" i="2"/>
  <c r="J30" i="2"/>
  <c r="K30" i="2"/>
  <c r="I31" i="2"/>
  <c r="J31" i="2"/>
  <c r="K31" i="2"/>
  <c r="H7" i="2"/>
  <c r="H8" i="2"/>
  <c r="H9" i="2"/>
  <c r="H10" i="2"/>
  <c r="H11" i="2"/>
  <c r="H12" i="2"/>
  <c r="H13" i="2"/>
  <c r="H14" i="2"/>
  <c r="H15" i="2"/>
  <c r="H16" i="2"/>
  <c r="H17" i="2"/>
  <c r="H18" i="2"/>
  <c r="H19" i="2"/>
  <c r="H20" i="2"/>
  <c r="H21" i="2"/>
  <c r="H22" i="2"/>
  <c r="H23" i="2"/>
  <c r="H24" i="2"/>
  <c r="H25" i="2"/>
  <c r="H26" i="2"/>
  <c r="H27" i="2"/>
  <c r="H28" i="2"/>
  <c r="H29" i="2"/>
  <c r="H30" i="2"/>
  <c r="H31" i="2"/>
  <c r="H6" i="2"/>
  <c r="E4" i="16"/>
  <c r="J4" i="16" s="1"/>
  <c r="I4" i="16"/>
  <c r="I3" i="16"/>
  <c r="E3" i="16"/>
  <c r="J3" i="16" s="1"/>
  <c r="I2" i="16"/>
  <c r="E2" i="16"/>
  <c r="J2" i="16" s="1"/>
  <c r="F4" i="16" l="1"/>
  <c r="F2" i="16"/>
  <c r="H2" i="16" s="1"/>
  <c r="F3" i="16"/>
  <c r="G2" i="16" l="1"/>
  <c r="H4" i="16"/>
  <c r="G4" i="16"/>
  <c r="H3" i="16"/>
  <c r="G3" i="16"/>
  <c r="C308" i="13" l="1"/>
  <c r="D308" i="13"/>
  <c r="E308" i="13"/>
  <c r="F308" i="13"/>
  <c r="G308" i="13"/>
  <c r="H308" i="13"/>
  <c r="I308" i="13"/>
  <c r="J308" i="13"/>
  <c r="K308" i="13"/>
  <c r="L308" i="13"/>
  <c r="M308" i="13"/>
  <c r="N308" i="13"/>
  <c r="O308" i="13"/>
  <c r="P308" i="13"/>
  <c r="Q308" i="13"/>
  <c r="R308" i="13"/>
  <c r="S308" i="13"/>
  <c r="T308" i="13"/>
  <c r="U308" i="13"/>
  <c r="C309" i="13"/>
  <c r="D309" i="13"/>
  <c r="E309" i="13"/>
  <c r="F309" i="13"/>
  <c r="G309" i="13"/>
  <c r="H309" i="13"/>
  <c r="I309" i="13"/>
  <c r="J309" i="13"/>
  <c r="K309" i="13"/>
  <c r="L309" i="13"/>
  <c r="M309" i="13"/>
  <c r="N309" i="13"/>
  <c r="O309" i="13"/>
  <c r="P309" i="13"/>
  <c r="Q309" i="13"/>
  <c r="R309" i="13"/>
  <c r="S309" i="13"/>
  <c r="T309" i="13"/>
  <c r="U309" i="13"/>
  <c r="C310" i="13"/>
  <c r="D310" i="13"/>
  <c r="E310" i="13"/>
  <c r="F310" i="13"/>
  <c r="G310" i="13"/>
  <c r="H310" i="13"/>
  <c r="I310" i="13"/>
  <c r="J310" i="13"/>
  <c r="K310" i="13"/>
  <c r="L310" i="13"/>
  <c r="M310" i="13"/>
  <c r="N310" i="13"/>
  <c r="O310" i="13"/>
  <c r="P310" i="13"/>
  <c r="Q310" i="13"/>
  <c r="R310" i="13"/>
  <c r="S310" i="13"/>
  <c r="T310" i="13"/>
  <c r="U310" i="13"/>
  <c r="B310" i="13"/>
  <c r="B309" i="13"/>
  <c r="B308" i="13"/>
</calcChain>
</file>

<file path=xl/sharedStrings.xml><?xml version="1.0" encoding="utf-8"?>
<sst xmlns="http://schemas.openxmlformats.org/spreadsheetml/2006/main" count="677" uniqueCount="417">
  <si>
    <t>Data Source in SDW: https://sdw.ecb.europa.eu/browseTable.do?org.apache.struts.taglib.html.TOKEN=a54f23cb82971ad182809efbcfb68806&amp;df=true&amp;ec=&amp;dc=&amp;oc=&amp;pb=&amp;rc=&amp;DATASET=1&amp;removeItem=&amp;removedItemList=&amp;mergeFilter=&amp;activeTab=BP6&amp;showHide=&amp;FREQ.243=A&amp;REF_AREA.243=DE&amp;REF_AREA.243=ES&amp;REF_AREA.243=GR&amp;REF_AREA.243=IT&amp;REF_AREA.243=PT&amp;MAX_DOWNLOAD_SERIES=500&amp;SERIES_MAX_NUM=50&amp;node=9691636&amp;periodSortOrder=ASC</t>
  </si>
  <si>
    <t>BP6.A.N.DE.W1.S1.S1.LE.NE.FA._T.FNED._Z.EUR_R_B1GQ._T._X.N</t>
  </si>
  <si>
    <t>BP6.A.N.ES.W1.S1.S1.LE.NE.FA._T.FNED._Z.EUR_R_B1GQ._T._X.N</t>
  </si>
  <si>
    <t>BP6.A.N.GR.W1.S1.S1.LE.NE.FA._T.FNED._Z.EUR_R_B1GQ._T._X.N</t>
  </si>
  <si>
    <t>BP6.A.N.IT.W1.S1.S1.LE.NE.FA._T.FNED._Z.EUR_R_B1GQ._T._X.N</t>
  </si>
  <si>
    <t>BP6.A.N.PT.W1.S1.S1.LE.NE.FA._T.FNED._Z.EUR_R_B1GQ._T._X.N</t>
  </si>
  <si>
    <t>Germany</t>
  </si>
  <si>
    <t>Spain</t>
  </si>
  <si>
    <t>Greece</t>
  </si>
  <si>
    <t>Italy</t>
  </si>
  <si>
    <t>Portugal</t>
  </si>
  <si>
    <t>Collection:</t>
  </si>
  <si>
    <t>End of period (E)</t>
  </si>
  <si>
    <t>Period\Unit:</t>
  </si>
  <si>
    <t>[Euro; ratio to gross domestic product ]</t>
  </si>
  <si>
    <t>Realizar un gráfico de líneas con todos los datos mediante la macro "graficodelineas"</t>
  </si>
  <si>
    <t>Data Source in SDW: https://sdw.ecb.europa.eu/browseTable.do?org.apache.struts.taglib.html.TOKEN=a25115d8527772cbed23c81f597a1925&amp;df=true&amp;UNIT_MEASURE.249=IX&amp;MAX_DOWNLOAD_SERIES=500&amp;periodSortOrder=ASC&amp;DATASET=0&amp;ACTIVITY.249=_T&amp;org.apache.struts.taglib.html.TOKEN=6e7c1f37e915ab00c113684393b7b7e4&amp;org.apache.struts.taglib.html.TOKEN=f25b32211eda53d2c4ae6c7840af0476&amp;org.apache.struts.taglib.html.TOKEN=d6e63d35a98eb1b66f00a8f79ed1459e&amp;node=9691254&amp;SERIES_MAX_NUM=50&amp;REF_AREA.249=DE&amp;REF_AREA.249=ES&amp;REF_AREA.249=FR&amp;REF_AREA.249=IT&amp;FREQ.249=A&amp;STO.249=LPR_HW&amp;activeTab=MNA&amp;start=01-01-2000&amp;end=31-12-2021&amp;submitOptions.x=0&amp;submitOptions.y=0&amp;trans=N&amp;q=&amp;type=</t>
  </si>
  <si>
    <t>MNA.A.N.DE.W0.S1.S1._Z.LPR_HW._Z._T._Z.IX.LR.N</t>
  </si>
  <si>
    <t>MNA.A.N.ES.W0.S1.S1._Z.LPR_HW._Z._T._Z.IX.LR.N</t>
  </si>
  <si>
    <t>MNA.A.N.FR.W0.S1.S1._Z.LPR_HW._Z._T._Z.IX.LR.N</t>
  </si>
  <si>
    <t>MNA.A.N.IT.W0.S1.S1._Z.LPR_HW._Z._T._Z.IX.LR.N</t>
  </si>
  <si>
    <t>France</t>
  </si>
  <si>
    <t>Average of observations through period (A)</t>
  </si>
  <si>
    <t>Realizar un cambio de año base (100=valor del año 2000) y elaborar la macro Productividadporhora para extender los calculos hasta el año 2025</t>
  </si>
  <si>
    <t>NOMBRE DE LA SERIE</t>
  </si>
  <si>
    <t>DTCCMMEARSEUR.M</t>
  </si>
  <si>
    <t>DTCCMMEBOBEUR.M</t>
  </si>
  <si>
    <t>DTCCMMECOPEUR.M</t>
  </si>
  <si>
    <t>DTCCMMECLPEUR.M</t>
  </si>
  <si>
    <t>DTCCMMEDOPEUR.M</t>
  </si>
  <si>
    <t>DTCCMMEGTQEUR.M</t>
  </si>
  <si>
    <t>DTCCMMENIOEUR.M</t>
  </si>
  <si>
    <t>DTCCMMEPYGEUR.M</t>
  </si>
  <si>
    <t>DTCCMMEPENEUR.M</t>
  </si>
  <si>
    <t>DTCCMMEUYUEUR.M</t>
  </si>
  <si>
    <t>DTCCMMEVEBEUR.M</t>
  </si>
  <si>
    <t>DTCCMMESAREUR.M</t>
  </si>
  <si>
    <t>DTCCMMEDZDEUR.M</t>
  </si>
  <si>
    <t>DTCCMMEEGPEUR.M</t>
  </si>
  <si>
    <t>DTCCMMEJODEUR.M</t>
  </si>
  <si>
    <t>DTCCMMELBPEUR.M</t>
  </si>
  <si>
    <t>DTCCMMELYDEUR.M</t>
  </si>
  <si>
    <t>DTCCMMEMADEUR.M</t>
  </si>
  <si>
    <t>DTCCMMESYPEUR.M</t>
  </si>
  <si>
    <t>DTCCMMETNDEUR.M</t>
  </si>
  <si>
    <t>NÚMERO SECUENCIAL</t>
  </si>
  <si>
    <t>ALIAS DE LA SERIE</t>
  </si>
  <si>
    <t>TC_1_3.1</t>
  </si>
  <si>
    <t>TC_1_3.2</t>
  </si>
  <si>
    <t>TC_1_3.3</t>
  </si>
  <si>
    <t>TC_1_3.4</t>
  </si>
  <si>
    <t>TC_1_3.5</t>
  </si>
  <si>
    <t>TC_1_3.6</t>
  </si>
  <si>
    <t>TC_1_3.7</t>
  </si>
  <si>
    <t>TC_1_3.8</t>
  </si>
  <si>
    <t>TC_1_3.9</t>
  </si>
  <si>
    <t>TC_1_3.10</t>
  </si>
  <si>
    <t>TC_1_3.11</t>
  </si>
  <si>
    <t>TC_1_3.12</t>
  </si>
  <si>
    <t>TC_1_3.13</t>
  </si>
  <si>
    <t>TC_1_3.14</t>
  </si>
  <si>
    <t>TC_1_3.15</t>
  </si>
  <si>
    <t>TC_1_3.16</t>
  </si>
  <si>
    <t>TC_1_3.17</t>
  </si>
  <si>
    <t>TC_1_3.18</t>
  </si>
  <si>
    <t>TC_1_3.19</t>
  </si>
  <si>
    <t>TC_1_3.20</t>
  </si>
  <si>
    <t>DESCRIPCIÓN DE LA SERIE</t>
  </si>
  <si>
    <t>Tipo de cambio. Pesos argentinos por euro (ARS/EUR). Media mensual de datos diarios</t>
  </si>
  <si>
    <t>Tipo de cambio. Bolivianos de Bolivia por euro (BOB/EUR). Media mensual de datos diarios</t>
  </si>
  <si>
    <t>Tipo de cambio. Pesos colombianos por euro (COP/EUR). Media mensual de datos diarios</t>
  </si>
  <si>
    <t>Tipo de cambio. Pesos chilenos por euro (CLP/EUR). Media mensual de datos diarios</t>
  </si>
  <si>
    <t>Tipo de cambio. Pesos dominicanos por euro (DOP/EUR). Media mensual de datos diarios</t>
  </si>
  <si>
    <t>Tipo de cambio. Quetzales guatemaltecos por euro (GTQ/EUR). Media mensual de datos diarios</t>
  </si>
  <si>
    <t>Tipo de cambio. Córdobas nicaragüenses por euro (NIO/EUR). Media mensual de datos diarios</t>
  </si>
  <si>
    <t>Tipo de cambio. Guaraníes paraguayos por euro (PYG/EUR). Media mensual de datos diarios</t>
  </si>
  <si>
    <t>Tipo de cambio. Nuevos soles peruanos por euro (PEN/EUR). Media mensual de datos diarios</t>
  </si>
  <si>
    <t>Tipo de cambio. Pesos uruguayos por euro (UYU/EUR). Media mensual de datos diarios</t>
  </si>
  <si>
    <t>Tipo de cambio. Bolívares venezolanos por euro (VEB/EUR). Media mensual de datos diarios</t>
  </si>
  <si>
    <t>Tipo de cambio. Riyales saudíes por euro (SAR/EUR). Media mensual de datos diarios</t>
  </si>
  <si>
    <t>Tipo de cambio. Dínares argelinos por euro (DZD/EUR). Media mensual de datos diarios</t>
  </si>
  <si>
    <t>Tipo de cambio. Libras egipcias por euro (EGP/EUR). Media mensual de datos diarios</t>
  </si>
  <si>
    <t>Tipo de cambio. Dínares jordanos por euro (JOD/EUR). Media mensual de datos diarios</t>
  </si>
  <si>
    <t>Tipo de cambio. Libras libanesas por euro (LBP/EUR). Media mensual de datos diarios</t>
  </si>
  <si>
    <t>Tipo de cambio. Dínares libios por euro (LYD/EUR). Media mensual de datos diarios</t>
  </si>
  <si>
    <t>Tipo de cambio. Dirhams marroquíes por euro (MAD/EUR). Media mensual de datos diarios</t>
  </si>
  <si>
    <t>Tipo de cambio. Libras sirias por euro (SYP/EUR). Media mensual de datos diarios</t>
  </si>
  <si>
    <t>Tipo de cambio. Dínares tunecinos por euro (TND/EUR). Media mensual de datos diarios</t>
  </si>
  <si>
    <t>DESCRIPCIÓN DE LAS UNIDADES</t>
  </si>
  <si>
    <t>Pesos argentinos por Euro</t>
  </si>
  <si>
    <t>Bolivianos de Bolivia por euro</t>
  </si>
  <si>
    <t>Pesos colombianos por Euro</t>
  </si>
  <si>
    <t>Pesos chilenos por Euro</t>
  </si>
  <si>
    <t>Pesos  dominicanos por euro</t>
  </si>
  <si>
    <t>Quetzales guatemaltecos por euro</t>
  </si>
  <si>
    <t>Cordobas nicaragüenses por euro</t>
  </si>
  <si>
    <t>Guaraníes paraguayos por euro</t>
  </si>
  <si>
    <t>Nuevos soles peruanos por Euro</t>
  </si>
  <si>
    <t>Pesos uruguayos por euro</t>
  </si>
  <si>
    <t>Bolivares venezolanos por Euro</t>
  </si>
  <si>
    <t>Riyales saudies por Euro</t>
  </si>
  <si>
    <t>dinares argelinos por euro</t>
  </si>
  <si>
    <t>libras egipcias por euro</t>
  </si>
  <si>
    <t>dinares jordanos por euro</t>
  </si>
  <si>
    <t>libras libanesas por euro</t>
  </si>
  <si>
    <t>libras libias por euro</t>
  </si>
  <si>
    <t>Dirhams marroquíes por Euro</t>
  </si>
  <si>
    <t>libras sirias por euro</t>
  </si>
  <si>
    <t>dinares tunecinos por euro</t>
  </si>
  <si>
    <t>FRECUENCIA</t>
  </si>
  <si>
    <t>MENSUAL</t>
  </si>
  <si>
    <t>ENE 1999</t>
  </si>
  <si>
    <t>FEB 1999</t>
  </si>
  <si>
    <t>MAR 1999</t>
  </si>
  <si>
    <t>ABR 1999</t>
  </si>
  <si>
    <t>MAY 1999</t>
  </si>
  <si>
    <t>JUN 1999</t>
  </si>
  <si>
    <t>JUL 1999</t>
  </si>
  <si>
    <t>AGO 1999</t>
  </si>
  <si>
    <t>SEP 1999</t>
  </si>
  <si>
    <t>OCT 1999</t>
  </si>
  <si>
    <t>NOV 1999</t>
  </si>
  <si>
    <t>DIC 1999</t>
  </si>
  <si>
    <t>ENE 2000</t>
  </si>
  <si>
    <t>FEB 2000</t>
  </si>
  <si>
    <t>MAR 2000</t>
  </si>
  <si>
    <t>ABR 2000</t>
  </si>
  <si>
    <t>MAY 2000</t>
  </si>
  <si>
    <t>JUN 2000</t>
  </si>
  <si>
    <t>JUL 2000</t>
  </si>
  <si>
    <t>AGO 2000</t>
  </si>
  <si>
    <t>SEP 2000</t>
  </si>
  <si>
    <t>OCT 2000</t>
  </si>
  <si>
    <t>NOV 2000</t>
  </si>
  <si>
    <t>DIC 2000</t>
  </si>
  <si>
    <t>ENE 2001</t>
  </si>
  <si>
    <t>FEB 2001</t>
  </si>
  <si>
    <t>MAR 2001</t>
  </si>
  <si>
    <t>ABR 2001</t>
  </si>
  <si>
    <t>MAY 2001</t>
  </si>
  <si>
    <t>JUN 2001</t>
  </si>
  <si>
    <t>JUL 2001</t>
  </si>
  <si>
    <t>AGO 2001</t>
  </si>
  <si>
    <t>SEP 2001</t>
  </si>
  <si>
    <t>OCT 2001</t>
  </si>
  <si>
    <t>NOV 2001</t>
  </si>
  <si>
    <t>DIC 2001</t>
  </si>
  <si>
    <t>ENE 2002</t>
  </si>
  <si>
    <t>FEB 2002</t>
  </si>
  <si>
    <t>MAR 2002</t>
  </si>
  <si>
    <t>ABR 2002</t>
  </si>
  <si>
    <t>MAY 2002</t>
  </si>
  <si>
    <t>JUN 2002</t>
  </si>
  <si>
    <t>JUL 2002</t>
  </si>
  <si>
    <t>AGO 2002</t>
  </si>
  <si>
    <t>SEP 2002</t>
  </si>
  <si>
    <t>OCT 2002</t>
  </si>
  <si>
    <t>NOV 2002</t>
  </si>
  <si>
    <t>DIC 2002</t>
  </si>
  <si>
    <t>ENE 2003</t>
  </si>
  <si>
    <t>FEB 2003</t>
  </si>
  <si>
    <t>MAR 2003</t>
  </si>
  <si>
    <t>ABR 2003</t>
  </si>
  <si>
    <t>MAY 2003</t>
  </si>
  <si>
    <t>JUN 2003</t>
  </si>
  <si>
    <t>JUL 2003</t>
  </si>
  <si>
    <t>AGO 2003</t>
  </si>
  <si>
    <t>SEP 2003</t>
  </si>
  <si>
    <t>OCT 2003</t>
  </si>
  <si>
    <t>NOV 2003</t>
  </si>
  <si>
    <t>DIC 2003</t>
  </si>
  <si>
    <t>ENE 2004</t>
  </si>
  <si>
    <t>FEB 2004</t>
  </si>
  <si>
    <t>MAR 2004</t>
  </si>
  <si>
    <t>ABR 2004</t>
  </si>
  <si>
    <t>MAY 2004</t>
  </si>
  <si>
    <t>JUN 2004</t>
  </si>
  <si>
    <t>JUL 2004</t>
  </si>
  <si>
    <t>AGO 2004</t>
  </si>
  <si>
    <t>SEP 2004</t>
  </si>
  <si>
    <t>OCT 2004</t>
  </si>
  <si>
    <t>NOV 2004</t>
  </si>
  <si>
    <t>DIC 2004</t>
  </si>
  <si>
    <t>ENE 2005</t>
  </si>
  <si>
    <t>FEB 2005</t>
  </si>
  <si>
    <t>MAR 2005</t>
  </si>
  <si>
    <t>ABR 2005</t>
  </si>
  <si>
    <t>MAY 2005</t>
  </si>
  <si>
    <t>JUN 2005</t>
  </si>
  <si>
    <t>JUL 2005</t>
  </si>
  <si>
    <t>AGO 2005</t>
  </si>
  <si>
    <t>SEP 2005</t>
  </si>
  <si>
    <t>OCT 2005</t>
  </si>
  <si>
    <t>NOV 2005</t>
  </si>
  <si>
    <t>DIC 2005</t>
  </si>
  <si>
    <t>ENE 2006</t>
  </si>
  <si>
    <t>FEB 2006</t>
  </si>
  <si>
    <t>MAR 2006</t>
  </si>
  <si>
    <t>ABR 2006</t>
  </si>
  <si>
    <t>MAY 2006</t>
  </si>
  <si>
    <t>JUN 2006</t>
  </si>
  <si>
    <t>JUL 2006</t>
  </si>
  <si>
    <t>AGO 2006</t>
  </si>
  <si>
    <t>SEP 2006</t>
  </si>
  <si>
    <t>OCT 2006</t>
  </si>
  <si>
    <t>NOV 2006</t>
  </si>
  <si>
    <t>DIC 2006</t>
  </si>
  <si>
    <t>ENE 2007</t>
  </si>
  <si>
    <t>FEB 2007</t>
  </si>
  <si>
    <t>MAR 2007</t>
  </si>
  <si>
    <t>ABR 2007</t>
  </si>
  <si>
    <t>MAY 2007</t>
  </si>
  <si>
    <t>JUN 2007</t>
  </si>
  <si>
    <t>JUL 2007</t>
  </si>
  <si>
    <t>AGO 2007</t>
  </si>
  <si>
    <t>SEP 2007</t>
  </si>
  <si>
    <t>OCT 2007</t>
  </si>
  <si>
    <t>NOV 2007</t>
  </si>
  <si>
    <t>DIC 2007</t>
  </si>
  <si>
    <t>ENE 2008</t>
  </si>
  <si>
    <t>FEB 2008</t>
  </si>
  <si>
    <t>MAR 2008</t>
  </si>
  <si>
    <t>ABR 2008</t>
  </si>
  <si>
    <t>MAY 2008</t>
  </si>
  <si>
    <t>JUN 2008</t>
  </si>
  <si>
    <t>JUL 2008</t>
  </si>
  <si>
    <t>AGO 2008</t>
  </si>
  <si>
    <t>SEP 2008</t>
  </si>
  <si>
    <t>OCT 2008</t>
  </si>
  <si>
    <t>NOV 2008</t>
  </si>
  <si>
    <t>DIC 2008</t>
  </si>
  <si>
    <t>ENE 2009</t>
  </si>
  <si>
    <t>FEB 2009</t>
  </si>
  <si>
    <t>MAR 2009</t>
  </si>
  <si>
    <t>ABR 2009</t>
  </si>
  <si>
    <t>MAY 2009</t>
  </si>
  <si>
    <t>JUN 2009</t>
  </si>
  <si>
    <t>JUL 2009</t>
  </si>
  <si>
    <t>AGO 2009</t>
  </si>
  <si>
    <t>SEP 2009</t>
  </si>
  <si>
    <t>OCT 2009</t>
  </si>
  <si>
    <t>NOV 2009</t>
  </si>
  <si>
    <t>DIC 2009</t>
  </si>
  <si>
    <t>ENE 2010</t>
  </si>
  <si>
    <t>FEB 2010</t>
  </si>
  <si>
    <t>MAR 2010</t>
  </si>
  <si>
    <t>ABR 2010</t>
  </si>
  <si>
    <t>MAY 2010</t>
  </si>
  <si>
    <t>JUN 2010</t>
  </si>
  <si>
    <t>JUL 2010</t>
  </si>
  <si>
    <t>AGO 2010</t>
  </si>
  <si>
    <t>SEP 2010</t>
  </si>
  <si>
    <t>OCT 2010</t>
  </si>
  <si>
    <t>NOV 2010</t>
  </si>
  <si>
    <t>DIC 2010</t>
  </si>
  <si>
    <t>ENE 2011</t>
  </si>
  <si>
    <t>FEB 2011</t>
  </si>
  <si>
    <t>MAR 2011</t>
  </si>
  <si>
    <t>ABR 2011</t>
  </si>
  <si>
    <t>MAY 2011</t>
  </si>
  <si>
    <t>JUN 2011</t>
  </si>
  <si>
    <t>JUL 2011</t>
  </si>
  <si>
    <t>AGO 2011</t>
  </si>
  <si>
    <t>SEP 2011</t>
  </si>
  <si>
    <t>OCT 2011</t>
  </si>
  <si>
    <t>NOV 2011</t>
  </si>
  <si>
    <t>DIC 2011</t>
  </si>
  <si>
    <t>ENE 2012</t>
  </si>
  <si>
    <t>FEB 2012</t>
  </si>
  <si>
    <t>MAR 2012</t>
  </si>
  <si>
    <t>ABR 2012</t>
  </si>
  <si>
    <t>MAY 2012</t>
  </si>
  <si>
    <t>JUN 2012</t>
  </si>
  <si>
    <t>JUL 2012</t>
  </si>
  <si>
    <t>AGO 2012</t>
  </si>
  <si>
    <t>SEP 2012</t>
  </si>
  <si>
    <t>OCT 2012</t>
  </si>
  <si>
    <t>NOV 2012</t>
  </si>
  <si>
    <t>DIC 2012</t>
  </si>
  <si>
    <t>ENE 2013</t>
  </si>
  <si>
    <t>FEB 2013</t>
  </si>
  <si>
    <t>MAR 2013</t>
  </si>
  <si>
    <t>ABR 2013</t>
  </si>
  <si>
    <t>MAY 2013</t>
  </si>
  <si>
    <t>JUN 2013</t>
  </si>
  <si>
    <t>JUL 2013</t>
  </si>
  <si>
    <t>AGO 2013</t>
  </si>
  <si>
    <t>SEP 2013</t>
  </si>
  <si>
    <t>OCT 2013</t>
  </si>
  <si>
    <t>NOV 2013</t>
  </si>
  <si>
    <t>DIC 2013</t>
  </si>
  <si>
    <t>ENE 2014</t>
  </si>
  <si>
    <t>FEB 2014</t>
  </si>
  <si>
    <t>MAR 2014</t>
  </si>
  <si>
    <t>ABR 2014</t>
  </si>
  <si>
    <t>MAY 2014</t>
  </si>
  <si>
    <t>JUN 2014</t>
  </si>
  <si>
    <t>JUL 2014</t>
  </si>
  <si>
    <t>AGO 2014</t>
  </si>
  <si>
    <t>SEP 2014</t>
  </si>
  <si>
    <t>OCT 2014</t>
  </si>
  <si>
    <t>NOV 2014</t>
  </si>
  <si>
    <t>DIC 2014</t>
  </si>
  <si>
    <t>ENE 2015</t>
  </si>
  <si>
    <t>FEB 2015</t>
  </si>
  <si>
    <t>MAR 2015</t>
  </si>
  <si>
    <t>ABR 2015</t>
  </si>
  <si>
    <t>MAY 2015</t>
  </si>
  <si>
    <t>JUN 2015</t>
  </si>
  <si>
    <t>JUL 2015</t>
  </si>
  <si>
    <t>AGO 2015</t>
  </si>
  <si>
    <t>SEP 2015</t>
  </si>
  <si>
    <t>OCT 2015</t>
  </si>
  <si>
    <t>NOV 2015</t>
  </si>
  <si>
    <t>DIC 2015</t>
  </si>
  <si>
    <t>ENE 2016</t>
  </si>
  <si>
    <t>FEB 2016</t>
  </si>
  <si>
    <t>MAR 2016</t>
  </si>
  <si>
    <t>ABR 2016</t>
  </si>
  <si>
    <t>MAY 2016</t>
  </si>
  <si>
    <t>JUN 2016</t>
  </si>
  <si>
    <t>JUL 2016</t>
  </si>
  <si>
    <t>AGO 2016</t>
  </si>
  <si>
    <t>SEP 2016</t>
  </si>
  <si>
    <t>OCT 2016</t>
  </si>
  <si>
    <t>NOV 2016</t>
  </si>
  <si>
    <t>DIC 2016</t>
  </si>
  <si>
    <t>ENE 2017</t>
  </si>
  <si>
    <t>FEB 2017</t>
  </si>
  <si>
    <t>MAR 2017</t>
  </si>
  <si>
    <t>ABR 2017</t>
  </si>
  <si>
    <t>MAY 2017</t>
  </si>
  <si>
    <t>JUN 2017</t>
  </si>
  <si>
    <t>JUL 2017</t>
  </si>
  <si>
    <t>AGO 2017</t>
  </si>
  <si>
    <t>SEP 2017</t>
  </si>
  <si>
    <t>OCT 2017</t>
  </si>
  <si>
    <t>NOV 2017</t>
  </si>
  <si>
    <t>DIC 2017</t>
  </si>
  <si>
    <t>ENE 2018</t>
  </si>
  <si>
    <t>FEB 2018</t>
  </si>
  <si>
    <t>MAR 2018</t>
  </si>
  <si>
    <t>ABR 2018</t>
  </si>
  <si>
    <t>MAY 2018</t>
  </si>
  <si>
    <t>JUN 2018</t>
  </si>
  <si>
    <t>JUL 2018</t>
  </si>
  <si>
    <t>-</t>
  </si>
  <si>
    <t>AGO 2018</t>
  </si>
  <si>
    <t>SEP 2018</t>
  </si>
  <si>
    <t>OCT 2018</t>
  </si>
  <si>
    <t>NOV 2018</t>
  </si>
  <si>
    <t>DIC 2018</t>
  </si>
  <si>
    <t>ENE 2019</t>
  </si>
  <si>
    <t>FEB 2019</t>
  </si>
  <si>
    <t>MAR 2019</t>
  </si>
  <si>
    <t>ABR 2019</t>
  </si>
  <si>
    <t>MAY 2019</t>
  </si>
  <si>
    <t>JUN 2019</t>
  </si>
  <si>
    <t>JUL 2019</t>
  </si>
  <si>
    <t>AGO 2019</t>
  </si>
  <si>
    <t>SEP 2019</t>
  </si>
  <si>
    <t>OCT 2019</t>
  </si>
  <si>
    <t>NOV 2019</t>
  </si>
  <si>
    <t>DIC 2019</t>
  </si>
  <si>
    <t>ENE 2020</t>
  </si>
  <si>
    <t>FEB 2020</t>
  </si>
  <si>
    <t>MAR 2020</t>
  </si>
  <si>
    <t>ABR 2020</t>
  </si>
  <si>
    <t>MAY 2020</t>
  </si>
  <si>
    <t>JUN 2020</t>
  </si>
  <si>
    <t>JUL 2020</t>
  </si>
  <si>
    <t>AGO 2020</t>
  </si>
  <si>
    <t>SEP 2020</t>
  </si>
  <si>
    <t>OCT 2020</t>
  </si>
  <si>
    <t>NOV 2020</t>
  </si>
  <si>
    <t>DIC 2020</t>
  </si>
  <si>
    <t>ENE 2021</t>
  </si>
  <si>
    <t>FEB 2021</t>
  </si>
  <si>
    <t>MAR 2021</t>
  </si>
  <si>
    <t>ABR 2021</t>
  </si>
  <si>
    <t>MAY 2021</t>
  </si>
  <si>
    <t>JUN 2021</t>
  </si>
  <si>
    <t>JUL 2021</t>
  </si>
  <si>
    <t>AGO 2021</t>
  </si>
  <si>
    <t>SEP 2021</t>
  </si>
  <si>
    <t>OCT 2021</t>
  </si>
  <si>
    <t>NOV 2021</t>
  </si>
  <si>
    <t>DIC 2021</t>
  </si>
  <si>
    <t>ENE 2022</t>
  </si>
  <si>
    <t>FEB 2022</t>
  </si>
  <si>
    <t>MAR 2022</t>
  </si>
  <si>
    <t>ABR 2022</t>
  </si>
  <si>
    <t>MAY 2022</t>
  </si>
  <si>
    <t>JUN 2022</t>
  </si>
  <si>
    <t>JUL 2022</t>
  </si>
  <si>
    <t>AGO 2022</t>
  </si>
  <si>
    <t>SEP 2022</t>
  </si>
  <si>
    <t>OCT 2022</t>
  </si>
  <si>
    <t>FUENTE</t>
  </si>
  <si>
    <t>BANCO DE ESPAÑA</t>
  </si>
  <si>
    <t>Fondo Monetario Internacional</t>
  </si>
  <si>
    <t>NOTAS</t>
  </si>
  <si>
    <t>Inversa del cambio facilitado por el FMI.</t>
  </si>
  <si>
    <t>Depreciación con respecto al euro desde su puesta en circulación hasta septiembre de 2022 en la macro Depreciaciónconrespectoaleuro</t>
  </si>
  <si>
    <t>Media aritmética anual (datos mensuales) de tres años completos en la hoja siguiente con la macro Mediaaritmeticaanualsobre36</t>
  </si>
  <si>
    <t>Obtener los tipos de cambio cruzados con respecto a la moneda que aparece en la columna B en la Hoja Cruzado con la macro Cruzado</t>
  </si>
  <si>
    <t>Representar la evolución del tipo de cambio del sol peruano y del peso chileno con respecto al euro desde enero del 2019 en la hoja Ejesecundario</t>
  </si>
  <si>
    <t>A partir de la fórmula de la raíz cuadrada de Baumol y Tobin realizar una hoja de ayuda para los problemas típicos de examen</t>
  </si>
  <si>
    <t>Renta</t>
  </si>
  <si>
    <t>tipo de interés</t>
  </si>
  <si>
    <t>ct</t>
  </si>
  <si>
    <t>Numero matematico de veces</t>
  </si>
  <si>
    <t>Número de veces real</t>
  </si>
  <si>
    <t>Saldo medio óptimo</t>
  </si>
  <si>
    <t>Cada vez saca</t>
  </si>
  <si>
    <t>Saldo medio optimo incorrecto</t>
  </si>
  <si>
    <t>Cada vez saca incorrecto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</si>
</sst>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5" formatCode="0.0000"/>
  </numFmts>
  <fonts count="21" x14ac:knownFonts="1">
    <font>
      <sz val="26"/>
      <color theme="1"/>
      <name val="Calibri"/>
      <family val="2"/>
      <scheme val="minor"/>
    </font>
    <font>
      <sz val="26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26"/>
      <color rgb="FF006100"/>
      <name val="Calibri"/>
      <family val="2"/>
      <scheme val="minor"/>
    </font>
    <font>
      <sz val="26"/>
      <color rgb="FF9C0006"/>
      <name val="Calibri"/>
      <family val="2"/>
      <scheme val="minor"/>
    </font>
    <font>
      <sz val="26"/>
      <color rgb="FF9C6500"/>
      <name val="Calibri"/>
      <family val="2"/>
      <scheme val="minor"/>
    </font>
    <font>
      <sz val="26"/>
      <color rgb="FF3F3F76"/>
      <name val="Calibri"/>
      <family val="2"/>
      <scheme val="minor"/>
    </font>
    <font>
      <b/>
      <sz val="26"/>
      <color rgb="FF3F3F3F"/>
      <name val="Calibri"/>
      <family val="2"/>
      <scheme val="minor"/>
    </font>
    <font>
      <b/>
      <sz val="26"/>
      <color rgb="FFFA7D00"/>
      <name val="Calibri"/>
      <family val="2"/>
      <scheme val="minor"/>
    </font>
    <font>
      <sz val="26"/>
      <color rgb="FFFA7D00"/>
      <name val="Calibri"/>
      <family val="2"/>
      <scheme val="minor"/>
    </font>
    <font>
      <b/>
      <sz val="26"/>
      <color theme="0"/>
      <name val="Calibri"/>
      <family val="2"/>
      <scheme val="minor"/>
    </font>
    <font>
      <sz val="26"/>
      <color rgb="FFFF0000"/>
      <name val="Calibri"/>
      <family val="2"/>
      <scheme val="minor"/>
    </font>
    <font>
      <i/>
      <sz val="26"/>
      <color rgb="FF7F7F7F"/>
      <name val="Calibri"/>
      <family val="2"/>
      <scheme val="minor"/>
    </font>
    <font>
      <b/>
      <sz val="26"/>
      <color theme="1"/>
      <name val="Calibri"/>
      <family val="2"/>
      <scheme val="minor"/>
    </font>
    <font>
      <sz val="26"/>
      <color theme="0"/>
      <name val="Calibri"/>
      <family val="2"/>
      <scheme val="minor"/>
    </font>
    <font>
      <sz val="24"/>
      <color theme="1"/>
      <name val="Calibri"/>
      <family val="2"/>
      <scheme val="minor"/>
    </font>
    <font>
      <sz val="24"/>
      <color theme="1"/>
      <name val="Times New Roman"/>
      <family val="1"/>
    </font>
    <font>
      <sz val="48"/>
      <color theme="1"/>
      <name val="Calibri"/>
      <family val="2"/>
      <scheme val="minor"/>
    </font>
  </fonts>
  <fills count="38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9" tint="0.39994506668294322"/>
        <bgColor indexed="64"/>
      </patternFill>
    </fill>
    <fill>
      <patternFill patternType="solid">
        <fgColor theme="9" tint="0.59996337778862885"/>
        <bgColor indexed="64"/>
      </patternFill>
    </fill>
    <fill>
      <patternFill patternType="solid">
        <fgColor theme="6" tint="0.39991454817346722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18">
    <xf numFmtId="0" fontId="0" fillId="0" borderId="0" xfId="0"/>
    <xf numFmtId="49" fontId="0" fillId="0" borderId="0" xfId="0" applyNumberFormat="1" applyAlignment="1">
      <alignment wrapText="1"/>
    </xf>
    <xf numFmtId="165" fontId="0" fillId="0" borderId="0" xfId="0" applyNumberFormat="1" applyAlignment="1">
      <alignment wrapText="1"/>
    </xf>
    <xf numFmtId="0" fontId="0" fillId="0" borderId="0" xfId="0" applyAlignment="1">
      <alignment wrapText="1"/>
    </xf>
    <xf numFmtId="2" fontId="0" fillId="0" borderId="0" xfId="0" applyNumberFormat="1" applyAlignment="1">
      <alignment wrapText="1"/>
    </xf>
    <xf numFmtId="165" fontId="0" fillId="33" borderId="0" xfId="0" applyNumberFormat="1" applyFill="1" applyAlignment="1">
      <alignment wrapText="1"/>
    </xf>
    <xf numFmtId="0" fontId="0" fillId="33" borderId="0" xfId="0" applyFill="1" applyAlignment="1">
      <alignment wrapText="1"/>
    </xf>
    <xf numFmtId="2" fontId="0" fillId="33" borderId="0" xfId="0" applyNumberFormat="1" applyFill="1" applyAlignment="1">
      <alignment wrapText="1"/>
    </xf>
    <xf numFmtId="0" fontId="18" fillId="0" borderId="0" xfId="0" applyFont="1"/>
    <xf numFmtId="0" fontId="19" fillId="0" borderId="0" xfId="0" applyFont="1"/>
    <xf numFmtId="0" fontId="0" fillId="34" borderId="0" xfId="0" applyFill="1"/>
    <xf numFmtId="0" fontId="0" fillId="33" borderId="0" xfId="0" applyFill="1"/>
    <xf numFmtId="0" fontId="20" fillId="33" borderId="0" xfId="0" applyFont="1" applyFill="1"/>
    <xf numFmtId="2" fontId="0" fillId="0" borderId="0" xfId="0" applyNumberFormat="1"/>
    <xf numFmtId="49" fontId="0" fillId="35" borderId="0" xfId="0" applyNumberFormat="1" applyFill="1" applyAlignment="1">
      <alignment wrapText="1"/>
    </xf>
    <xf numFmtId="0" fontId="0" fillId="36" borderId="0" xfId="0" applyFill="1"/>
    <xf numFmtId="165" fontId="0" fillId="0" borderId="0" xfId="0" applyNumberFormat="1"/>
    <xf numFmtId="0" fontId="0" fillId="37" borderId="0" xfId="0" applyFill="1"/>
  </cellXfs>
  <cellStyles count="42">
    <cellStyle name="20% - Énfasis1" xfId="19" builtinId="30" customBuiltin="1"/>
    <cellStyle name="20% - Énfasis2" xfId="23" builtinId="34" customBuiltin="1"/>
    <cellStyle name="20% - Énfasis3" xfId="27" builtinId="38" customBuiltin="1"/>
    <cellStyle name="20% - Énfasis4" xfId="31" builtinId="42" customBuiltin="1"/>
    <cellStyle name="20% - Énfasis5" xfId="35" builtinId="46" customBuiltin="1"/>
    <cellStyle name="20% - Énfasis6" xfId="39" builtinId="50" customBuiltin="1"/>
    <cellStyle name="40% - Énfasis1" xfId="20" builtinId="31" customBuiltin="1"/>
    <cellStyle name="40% - Énfasis2" xfId="24" builtinId="35" customBuiltin="1"/>
    <cellStyle name="40% - Énfasis3" xfId="28" builtinId="39" customBuiltin="1"/>
    <cellStyle name="40% - Énfasis4" xfId="32" builtinId="43" customBuiltin="1"/>
    <cellStyle name="40% - Énfasis5" xfId="36" builtinId="47" customBuiltin="1"/>
    <cellStyle name="40% - Énfasis6" xfId="40" builtinId="51" customBuiltin="1"/>
    <cellStyle name="60% - Énfasis1" xfId="21" builtinId="32" customBuiltin="1"/>
    <cellStyle name="60% - Énfasis2" xfId="25" builtinId="36" customBuiltin="1"/>
    <cellStyle name="60% - Énfasis3" xfId="29" builtinId="40" customBuiltin="1"/>
    <cellStyle name="60% - Énfasis4" xfId="33" builtinId="44" customBuiltin="1"/>
    <cellStyle name="60% - Énfasis5" xfId="37" builtinId="48" customBuiltin="1"/>
    <cellStyle name="60% - Énfasis6" xfId="41" builtinId="52" customBuiltin="1"/>
    <cellStyle name="Bueno" xfId="6" builtinId="26" customBuiltin="1"/>
    <cellStyle name="Cálculo" xfId="11" builtinId="22" customBuiltin="1"/>
    <cellStyle name="Celda de comprobación" xfId="13" builtinId="23" customBuiltin="1"/>
    <cellStyle name="Celda vinculada" xfId="12" builtinId="24" customBuiltin="1"/>
    <cellStyle name="Encabezado 1" xfId="2" builtinId="16" customBuiltin="1"/>
    <cellStyle name="Encabezado 4" xfId="5" builtinId="19" customBuiltin="1"/>
    <cellStyle name="Énfasis1" xfId="18" builtinId="29" customBuiltin="1"/>
    <cellStyle name="Énfasis2" xfId="22" builtinId="33" customBuiltin="1"/>
    <cellStyle name="Énfasis3" xfId="26" builtinId="37" customBuiltin="1"/>
    <cellStyle name="Énfasis4" xfId="30" builtinId="41" customBuiltin="1"/>
    <cellStyle name="Énfasis5" xfId="34" builtinId="45" customBuiltin="1"/>
    <cellStyle name="Énfasis6" xfId="38" builtinId="49" customBuiltin="1"/>
    <cellStyle name="Entrada" xfId="9" builtinId="20" customBuiltin="1"/>
    <cellStyle name="Incorrecto" xfId="7" builtinId="27" customBuiltin="1"/>
    <cellStyle name="Neutral" xfId="8" builtinId="28" customBuiltin="1"/>
    <cellStyle name="Normal" xfId="0" builtinId="0"/>
    <cellStyle name="Notas" xfId="15" builtinId="10" customBuiltin="1"/>
    <cellStyle name="Salida" xfId="10" builtinId="21" customBuiltin="1"/>
    <cellStyle name="Texto de advertencia" xfId="14" builtinId="11" customBuiltin="1"/>
    <cellStyle name="Texto explicativo" xfId="16" builtinId="53" customBuiltin="1"/>
    <cellStyle name="Título" xfId="1" builtinId="15" customBuiltin="1"/>
    <cellStyle name="Título 2" xfId="3" builtinId="17" customBuiltin="1"/>
    <cellStyle name="Título 3" xfId="4" builtinId="18" customBuiltin="1"/>
    <cellStyle name="Total" xfId="17" builtinId="25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Evolución de la Deuda Externa en % del PIB. Fuente BCE y elaboración propia.</a:t>
            </a:r>
          </a:p>
        </c:rich>
      </c:tx>
      <c:layout>
        <c:manualLayout>
          <c:xMode val="edge"/>
          <c:yMode val="edge"/>
          <c:x val="0.27024386299021669"/>
          <c:y val="6.093282396051361E-2"/>
        </c:manualLayout>
      </c:layout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'Deuda Externa Neta'!$B$3</c:f>
              <c:strCache>
                <c:ptCount val="1"/>
                <c:pt idx="0">
                  <c:v>Germany</c:v>
                </c:pt>
              </c:strCache>
            </c:strRef>
          </c:tx>
          <c:marker>
            <c:symbol val="none"/>
          </c:marker>
          <c:cat>
            <c:numRef>
              <c:f>'Deuda Externa Neta'!$A$6:$A$19</c:f>
              <c:numCache>
                <c:formatCode>General</c:formatCode>
                <c:ptCount val="14"/>
                <c:pt idx="0">
                  <c:v>2008</c:v>
                </c:pt>
                <c:pt idx="1">
                  <c:v>2009</c:v>
                </c:pt>
                <c:pt idx="2">
                  <c:v>2010</c:v>
                </c:pt>
                <c:pt idx="3">
                  <c:v>2011</c:v>
                </c:pt>
                <c:pt idx="4">
                  <c:v>2012</c:v>
                </c:pt>
                <c:pt idx="5">
                  <c:v>2013</c:v>
                </c:pt>
                <c:pt idx="6">
                  <c:v>2014</c:v>
                </c:pt>
                <c:pt idx="7">
                  <c:v>2015</c:v>
                </c:pt>
                <c:pt idx="8">
                  <c:v>2016</c:v>
                </c:pt>
                <c:pt idx="9">
                  <c:v>2017</c:v>
                </c:pt>
                <c:pt idx="10">
                  <c:v>2018</c:v>
                </c:pt>
                <c:pt idx="11">
                  <c:v>2019</c:v>
                </c:pt>
                <c:pt idx="12">
                  <c:v>2020</c:v>
                </c:pt>
                <c:pt idx="13">
                  <c:v>2021</c:v>
                </c:pt>
              </c:numCache>
            </c:numRef>
          </c:cat>
          <c:val>
            <c:numRef>
              <c:f>'Deuda Externa Neta'!$B$6:$B$19</c:f>
              <c:numCache>
                <c:formatCode>General</c:formatCode>
                <c:ptCount val="14"/>
                <c:pt idx="0">
                  <c:v>6</c:v>
                </c:pt>
                <c:pt idx="1">
                  <c:v>1</c:v>
                </c:pt>
                <c:pt idx="2">
                  <c:v>3</c:v>
                </c:pt>
                <c:pt idx="3">
                  <c:v>7</c:v>
                </c:pt>
                <c:pt idx="4">
                  <c:v>3</c:v>
                </c:pt>
                <c:pt idx="5">
                  <c:v>-4</c:v>
                </c:pt>
                <c:pt idx="6">
                  <c:v>-6</c:v>
                </c:pt>
                <c:pt idx="7">
                  <c:v>-9</c:v>
                </c:pt>
                <c:pt idx="8">
                  <c:v>-11</c:v>
                </c:pt>
                <c:pt idx="9">
                  <c:v>-15</c:v>
                </c:pt>
                <c:pt idx="10">
                  <c:v>-14</c:v>
                </c:pt>
                <c:pt idx="11">
                  <c:v>-15</c:v>
                </c:pt>
                <c:pt idx="12">
                  <c:v>-14</c:v>
                </c:pt>
                <c:pt idx="13">
                  <c:v>-10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6CE-4043-8732-B7DD1FF51D31}"/>
            </c:ext>
          </c:extLst>
        </c:ser>
        <c:ser>
          <c:idx val="1"/>
          <c:order val="1"/>
          <c:tx>
            <c:strRef>
              <c:f>'Deuda Externa Neta'!$C$3</c:f>
              <c:strCache>
                <c:ptCount val="1"/>
                <c:pt idx="0">
                  <c:v>Spain</c:v>
                </c:pt>
              </c:strCache>
            </c:strRef>
          </c:tx>
          <c:marker>
            <c:symbol val="none"/>
          </c:marker>
          <c:val>
            <c:numRef>
              <c:f>'Deuda Externa Neta'!$C$6:$C$19</c:f>
              <c:numCache>
                <c:formatCode>General</c:formatCode>
                <c:ptCount val="14"/>
                <c:pt idx="0">
                  <c:v>78</c:v>
                </c:pt>
                <c:pt idx="1">
                  <c:v>89</c:v>
                </c:pt>
                <c:pt idx="2">
                  <c:v>92</c:v>
                </c:pt>
                <c:pt idx="3">
                  <c:v>96</c:v>
                </c:pt>
                <c:pt idx="4">
                  <c:v>94</c:v>
                </c:pt>
                <c:pt idx="5">
                  <c:v>93</c:v>
                </c:pt>
                <c:pt idx="6">
                  <c:v>96</c:v>
                </c:pt>
                <c:pt idx="7">
                  <c:v>92</c:v>
                </c:pt>
                <c:pt idx="8">
                  <c:v>88</c:v>
                </c:pt>
                <c:pt idx="9">
                  <c:v>86</c:v>
                </c:pt>
                <c:pt idx="10">
                  <c:v>80</c:v>
                </c:pt>
                <c:pt idx="11">
                  <c:v>75</c:v>
                </c:pt>
                <c:pt idx="12">
                  <c:v>87</c:v>
                </c:pt>
                <c:pt idx="13">
                  <c:v>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6CE-4043-8732-B7DD1FF51D31}"/>
            </c:ext>
          </c:extLst>
        </c:ser>
        <c:ser>
          <c:idx val="2"/>
          <c:order val="2"/>
          <c:tx>
            <c:strRef>
              <c:f>'Deuda Externa Neta'!$D$3</c:f>
              <c:strCache>
                <c:ptCount val="1"/>
                <c:pt idx="0">
                  <c:v>Greece</c:v>
                </c:pt>
              </c:strCache>
            </c:strRef>
          </c:tx>
          <c:marker>
            <c:symbol val="none"/>
          </c:marker>
          <c:val>
            <c:numRef>
              <c:f>'Deuda Externa Neta'!$D$6:$D$19</c:f>
              <c:numCache>
                <c:formatCode>General</c:formatCode>
                <c:ptCount val="14"/>
                <c:pt idx="0">
                  <c:v>73</c:v>
                </c:pt>
                <c:pt idx="1">
                  <c:v>84</c:v>
                </c:pt>
                <c:pt idx="2">
                  <c:v>102</c:v>
                </c:pt>
                <c:pt idx="3">
                  <c:v>101</c:v>
                </c:pt>
                <c:pt idx="4">
                  <c:v>125</c:v>
                </c:pt>
                <c:pt idx="5">
                  <c:v>133</c:v>
                </c:pt>
                <c:pt idx="6">
                  <c:v>134</c:v>
                </c:pt>
                <c:pt idx="7">
                  <c:v>138</c:v>
                </c:pt>
                <c:pt idx="8">
                  <c:v>137</c:v>
                </c:pt>
                <c:pt idx="9">
                  <c:v>138</c:v>
                </c:pt>
                <c:pt idx="10">
                  <c:v>143</c:v>
                </c:pt>
                <c:pt idx="11">
                  <c:v>141</c:v>
                </c:pt>
                <c:pt idx="12">
                  <c:v>162</c:v>
                </c:pt>
                <c:pt idx="13">
                  <c:v>160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6CE-4043-8732-B7DD1FF51D31}"/>
            </c:ext>
          </c:extLst>
        </c:ser>
        <c:ser>
          <c:idx val="3"/>
          <c:order val="3"/>
          <c:tx>
            <c:strRef>
              <c:f>'Deuda Externa Neta'!$E$3</c:f>
              <c:strCache>
                <c:ptCount val="1"/>
                <c:pt idx="0">
                  <c:v>Italy</c:v>
                </c:pt>
              </c:strCache>
            </c:strRef>
          </c:tx>
          <c:marker>
            <c:symbol val="none"/>
          </c:marker>
          <c:val>
            <c:numRef>
              <c:f>'Deuda Externa Neta'!$E$6:$E$19</c:f>
              <c:numCache>
                <c:formatCode>General</c:formatCode>
                <c:ptCount val="14"/>
                <c:pt idx="0">
                  <c:v>37</c:v>
                </c:pt>
                <c:pt idx="1">
                  <c:v>41</c:v>
                </c:pt>
                <c:pt idx="2">
                  <c:v>48</c:v>
                </c:pt>
                <c:pt idx="3">
                  <c:v>46</c:v>
                </c:pt>
                <c:pt idx="4">
                  <c:v>53</c:v>
                </c:pt>
                <c:pt idx="5">
                  <c:v>57</c:v>
                </c:pt>
                <c:pt idx="6">
                  <c:v>58</c:v>
                </c:pt>
                <c:pt idx="7">
                  <c:v>58</c:v>
                </c:pt>
                <c:pt idx="8">
                  <c:v>56</c:v>
                </c:pt>
                <c:pt idx="9">
                  <c:v>54</c:v>
                </c:pt>
                <c:pt idx="10">
                  <c:v>52</c:v>
                </c:pt>
                <c:pt idx="11">
                  <c:v>51</c:v>
                </c:pt>
                <c:pt idx="12">
                  <c:v>58</c:v>
                </c:pt>
                <c:pt idx="13">
                  <c:v>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76CE-4043-8732-B7DD1FF51D31}"/>
            </c:ext>
          </c:extLst>
        </c:ser>
        <c:ser>
          <c:idx val="4"/>
          <c:order val="4"/>
          <c:tx>
            <c:strRef>
              <c:f>'Deuda Externa Neta'!$F$3</c:f>
              <c:strCache>
                <c:ptCount val="1"/>
                <c:pt idx="0">
                  <c:v>Portugal</c:v>
                </c:pt>
              </c:strCache>
            </c:strRef>
          </c:tx>
          <c:marker>
            <c:symbol val="none"/>
          </c:marker>
          <c:val>
            <c:numRef>
              <c:f>'Deuda Externa Neta'!$F$6:$F$19</c:f>
              <c:numCache>
                <c:formatCode>General</c:formatCode>
                <c:ptCount val="14"/>
                <c:pt idx="0">
                  <c:v>76</c:v>
                </c:pt>
                <c:pt idx="1">
                  <c:v>84</c:v>
                </c:pt>
                <c:pt idx="2">
                  <c:v>83</c:v>
                </c:pt>
                <c:pt idx="3">
                  <c:v>86</c:v>
                </c:pt>
                <c:pt idx="4">
                  <c:v>105</c:v>
                </c:pt>
                <c:pt idx="5">
                  <c:v>104</c:v>
                </c:pt>
                <c:pt idx="6">
                  <c:v>108</c:v>
                </c:pt>
                <c:pt idx="7">
                  <c:v>104</c:v>
                </c:pt>
                <c:pt idx="8">
                  <c:v>96</c:v>
                </c:pt>
                <c:pt idx="9">
                  <c:v>93</c:v>
                </c:pt>
                <c:pt idx="10">
                  <c:v>89</c:v>
                </c:pt>
                <c:pt idx="11">
                  <c:v>84</c:v>
                </c:pt>
                <c:pt idx="12">
                  <c:v>88</c:v>
                </c:pt>
                <c:pt idx="13">
                  <c:v>80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76CE-4043-8732-B7DD1FF51D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/>
        <c:smooth val="0"/>
        <c:axId val="139551104"/>
        <c:axId val="139553408"/>
      </c:lineChart>
      <c:catAx>
        <c:axId val="13955110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Años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crossAx val="139553408"/>
        <c:crosses val="autoZero"/>
        <c:auto val="1"/>
        <c:lblAlgn val="ctr"/>
        <c:lblOffset val="100"/>
        <c:noMultiLvlLbl val="0"/>
      </c:catAx>
      <c:valAx>
        <c:axId val="13955340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Porcentaje del PIB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3955110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s-ES"/>
              <a:t>La evolución del tipo de cambio  del sol peruano y el peso chileno. </a:t>
            </a:r>
          </a:p>
          <a:p>
            <a:pPr>
              <a:defRPr/>
            </a:pPr>
            <a:r>
              <a:rPr lang="es-ES"/>
              <a:t>Fuente:Banco de España. Elaboración propia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>
        <c:manualLayout>
          <c:layoutTarget val="inner"/>
          <c:xMode val="edge"/>
          <c:yMode val="edge"/>
          <c:x val="3.2369997310056783E-2"/>
          <c:y val="7.2720339692071825E-2"/>
          <c:w val="0.93691183715044968"/>
          <c:h val="0.90662114937827287"/>
        </c:manualLayout>
      </c:layout>
      <c:lineChart>
        <c:grouping val="standard"/>
        <c:varyColors val="0"/>
        <c:ser>
          <c:idx val="0"/>
          <c:order val="0"/>
          <c:spPr>
            <a:ln w="34925" cap="rnd">
              <a:solidFill>
                <a:schemeClr val="accent1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val>
            <c:numRef>
              <c:f>'TipodecambiofrentealEuro BDE'!$E$247:$E$291</c:f>
              <c:numCache>
                <c:formatCode>0.0000</c:formatCode>
                <c:ptCount val="45"/>
                <c:pt idx="0">
                  <c:v>773.33994099999995</c:v>
                </c:pt>
                <c:pt idx="1">
                  <c:v>744.52252599999997</c:v>
                </c:pt>
                <c:pt idx="2">
                  <c:v>755.26649699999996</c:v>
                </c:pt>
                <c:pt idx="3">
                  <c:v>749.68628899999999</c:v>
                </c:pt>
                <c:pt idx="4">
                  <c:v>774.07222200000001</c:v>
                </c:pt>
                <c:pt idx="5">
                  <c:v>781.96518000000003</c:v>
                </c:pt>
                <c:pt idx="6">
                  <c:v>770.12974199999996</c:v>
                </c:pt>
                <c:pt idx="7">
                  <c:v>794.08254899999997</c:v>
                </c:pt>
                <c:pt idx="8">
                  <c:v>789.93180900000004</c:v>
                </c:pt>
                <c:pt idx="9">
                  <c:v>797.65025200000002</c:v>
                </c:pt>
                <c:pt idx="10">
                  <c:v>851.673498</c:v>
                </c:pt>
                <c:pt idx="11">
                  <c:v>857.11254799999995</c:v>
                </c:pt>
                <c:pt idx="12">
                  <c:v>860.39905199999998</c:v>
                </c:pt>
                <c:pt idx="13">
                  <c:v>868.66130699999997</c:v>
                </c:pt>
                <c:pt idx="14">
                  <c:v>928.635403</c:v>
                </c:pt>
                <c:pt idx="15">
                  <c:v>926.93178799999998</c:v>
                </c:pt>
                <c:pt idx="16">
                  <c:v>896.89217099999996</c:v>
                </c:pt>
                <c:pt idx="17">
                  <c:v>893.29724599999997</c:v>
                </c:pt>
                <c:pt idx="18">
                  <c:v>897.50329499999998</c:v>
                </c:pt>
                <c:pt idx="19">
                  <c:v>928.10557400000005</c:v>
                </c:pt>
                <c:pt idx="20">
                  <c:v>911.98643900000002</c:v>
                </c:pt>
                <c:pt idx="21">
                  <c:v>928.198893</c:v>
                </c:pt>
                <c:pt idx="22">
                  <c:v>902.35363600000005</c:v>
                </c:pt>
                <c:pt idx="23">
                  <c:v>901.03671899999995</c:v>
                </c:pt>
                <c:pt idx="24">
                  <c:v>879.89224100000001</c:v>
                </c:pt>
                <c:pt idx="25">
                  <c:v>874.11402599999997</c:v>
                </c:pt>
                <c:pt idx="26">
                  <c:v>864.30932299999995</c:v>
                </c:pt>
                <c:pt idx="27">
                  <c:v>847.934889</c:v>
                </c:pt>
                <c:pt idx="28">
                  <c:v>863.02321400000005</c:v>
                </c:pt>
                <c:pt idx="29">
                  <c:v>875.274764</c:v>
                </c:pt>
                <c:pt idx="30">
                  <c:v>888.90117499999997</c:v>
                </c:pt>
                <c:pt idx="31">
                  <c:v>918.07173999999998</c:v>
                </c:pt>
                <c:pt idx="32">
                  <c:v>925.30279299999995</c:v>
                </c:pt>
                <c:pt idx="33">
                  <c:v>944.30273499999998</c:v>
                </c:pt>
                <c:pt idx="34">
                  <c:v>927.17072199999996</c:v>
                </c:pt>
                <c:pt idx="35">
                  <c:v>956.84582</c:v>
                </c:pt>
                <c:pt idx="36">
                  <c:v>930.48328700000002</c:v>
                </c:pt>
                <c:pt idx="37">
                  <c:v>916.39842499999997</c:v>
                </c:pt>
                <c:pt idx="38">
                  <c:v>880.62111200000004</c:v>
                </c:pt>
                <c:pt idx="39">
                  <c:v>881.86012300000004</c:v>
                </c:pt>
                <c:pt idx="40">
                  <c:v>899.89435700000001</c:v>
                </c:pt>
                <c:pt idx="41">
                  <c:v>905.30933100000004</c:v>
                </c:pt>
                <c:pt idx="42">
                  <c:v>967.01309600000002</c:v>
                </c:pt>
                <c:pt idx="43">
                  <c:v>915.96730100000002</c:v>
                </c:pt>
                <c:pt idx="44">
                  <c:v>913.994686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B4-529A-4153-9FAB-B694933832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7513200"/>
        <c:axId val="377499472"/>
      </c:lineChart>
      <c:lineChart>
        <c:grouping val="standard"/>
        <c:varyColors val="0"/>
        <c:ser>
          <c:idx val="1"/>
          <c:order val="1"/>
          <c:spPr>
            <a:ln w="34925" cap="rnd">
              <a:solidFill>
                <a:schemeClr val="accent2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val>
            <c:numRef>
              <c:f>'TipodecambiofrentealEuro BDE'!$J$247:$J$291</c:f>
              <c:numCache>
                <c:formatCode>0.0000</c:formatCode>
                <c:ptCount val="45"/>
                <c:pt idx="0">
                  <c:v>3.8174920000000001</c:v>
                </c:pt>
                <c:pt idx="1">
                  <c:v>3.7702559999999998</c:v>
                </c:pt>
                <c:pt idx="2">
                  <c:v>3.7351190000000001</c:v>
                </c:pt>
                <c:pt idx="3">
                  <c:v>3.7129210000000001</c:v>
                </c:pt>
                <c:pt idx="4">
                  <c:v>3.727112</c:v>
                </c:pt>
                <c:pt idx="5">
                  <c:v>3.7557900000000002</c:v>
                </c:pt>
                <c:pt idx="6">
                  <c:v>3.6910910000000001</c:v>
                </c:pt>
                <c:pt idx="7">
                  <c:v>3.7599749999999998</c:v>
                </c:pt>
                <c:pt idx="8">
                  <c:v>3.6953260000000001</c:v>
                </c:pt>
                <c:pt idx="9">
                  <c:v>3.713746</c:v>
                </c:pt>
                <c:pt idx="10">
                  <c:v>3.7271709999999998</c:v>
                </c:pt>
                <c:pt idx="11">
                  <c:v>3.7282709999999999</c:v>
                </c:pt>
                <c:pt idx="12">
                  <c:v>3.693495</c:v>
                </c:pt>
                <c:pt idx="13">
                  <c:v>3.6971769999999999</c:v>
                </c:pt>
                <c:pt idx="14">
                  <c:v>3.862638</c:v>
                </c:pt>
                <c:pt idx="15">
                  <c:v>3.690331</c:v>
                </c:pt>
                <c:pt idx="16">
                  <c:v>3.7296860000000001</c:v>
                </c:pt>
                <c:pt idx="17">
                  <c:v>3.9055309999999999</c:v>
                </c:pt>
                <c:pt idx="18">
                  <c:v>4.03118</c:v>
                </c:pt>
                <c:pt idx="19">
                  <c:v>4.2154489999999996</c:v>
                </c:pt>
                <c:pt idx="20">
                  <c:v>4.192094</c:v>
                </c:pt>
                <c:pt idx="21">
                  <c:v>4.2339000000000002</c:v>
                </c:pt>
                <c:pt idx="22">
                  <c:v>4.2708339999999998</c:v>
                </c:pt>
                <c:pt idx="23">
                  <c:v>4.3842889999999999</c:v>
                </c:pt>
                <c:pt idx="24">
                  <c:v>4.411416</c:v>
                </c:pt>
                <c:pt idx="25">
                  <c:v>4.4100169999999999</c:v>
                </c:pt>
                <c:pt idx="26">
                  <c:v>4.412363</c:v>
                </c:pt>
                <c:pt idx="27">
                  <c:v>4.4316079999999998</c:v>
                </c:pt>
                <c:pt idx="28">
                  <c:v>4.5833149999999998</c:v>
                </c:pt>
                <c:pt idx="29">
                  <c:v>4.7107849999999996</c:v>
                </c:pt>
                <c:pt idx="30">
                  <c:v>4.6578549999999996</c:v>
                </c:pt>
                <c:pt idx="31">
                  <c:v>4.8101890000000003</c:v>
                </c:pt>
                <c:pt idx="32">
                  <c:v>4.8346309999999999</c:v>
                </c:pt>
                <c:pt idx="33">
                  <c:v>4.6580510000000004</c:v>
                </c:pt>
                <c:pt idx="34">
                  <c:v>4.5879839999999996</c:v>
                </c:pt>
                <c:pt idx="35">
                  <c:v>4.5633109999999997</c:v>
                </c:pt>
                <c:pt idx="36">
                  <c:v>4.4005229999999997</c:v>
                </c:pt>
                <c:pt idx="37">
                  <c:v>4.2994870000000001</c:v>
                </c:pt>
                <c:pt idx="38">
                  <c:v>4.1197480000000004</c:v>
                </c:pt>
                <c:pt idx="39">
                  <c:v>4.0459230000000002</c:v>
                </c:pt>
                <c:pt idx="40">
                  <c:v>3.9749189999999999</c:v>
                </c:pt>
                <c:pt idx="41">
                  <c:v>3.9591630000000002</c:v>
                </c:pt>
                <c:pt idx="42">
                  <c:v>3.9719959999999999</c:v>
                </c:pt>
                <c:pt idx="43">
                  <c:v>3.9235479999999998</c:v>
                </c:pt>
                <c:pt idx="44">
                  <c:v>3.860198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E7-529A-4153-9FAB-B694933832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60612512"/>
        <c:axId val="1160632064"/>
      </c:lineChart>
      <c:catAx>
        <c:axId val="377513200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377499472"/>
        <c:crosses val="autoZero"/>
        <c:auto val="1"/>
        <c:lblAlgn val="ctr"/>
        <c:lblOffset val="100"/>
        <c:noMultiLvlLbl val="0"/>
      </c:catAx>
      <c:valAx>
        <c:axId val="3774994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377513200"/>
        <c:crosses val="autoZero"/>
        <c:crossBetween val="between"/>
      </c:valAx>
      <c:valAx>
        <c:axId val="1160632064"/>
        <c:scaling>
          <c:orientation val="minMax"/>
        </c:scaling>
        <c:delete val="0"/>
        <c:axPos val="r"/>
        <c:numFmt formatCode="0.0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160612512"/>
        <c:crosses val="max"/>
        <c:crossBetween val="between"/>
      </c:valAx>
      <c:catAx>
        <c:axId val="1160612512"/>
        <c:scaling>
          <c:orientation val="minMax"/>
        </c:scaling>
        <c:delete val="1"/>
        <c:axPos val="b"/>
        <c:majorTickMark val="none"/>
        <c:minorTickMark val="none"/>
        <c:tickLblPos val="nextTo"/>
        <c:crossAx val="1160632064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1276350</xdr:colOff>
      <xdr:row>6</xdr:row>
      <xdr:rowOff>80293</xdr:rowOff>
    </xdr:from>
    <xdr:to>
      <xdr:col>13</xdr:col>
      <xdr:colOff>1554080</xdr:colOff>
      <xdr:row>23</xdr:row>
      <xdr:rowOff>133684</xdr:rowOff>
    </xdr:to>
    <xdr:graphicFrame macro="">
      <xdr:nvGraphicFramePr>
        <xdr:cNvPr id="9" name="8 Gráfico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1177637</xdr:colOff>
      <xdr:row>3</xdr:row>
      <xdr:rowOff>277091</xdr:rowOff>
    </xdr:from>
    <xdr:to>
      <xdr:col>12</xdr:col>
      <xdr:colOff>51954</xdr:colOff>
      <xdr:row>32</xdr:row>
      <xdr:rowOff>346363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36CEF773-0480-F787-F29B-81740FC268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1076325</xdr:colOff>
      <xdr:row>4</xdr:row>
      <xdr:rowOff>180975</xdr:rowOff>
    </xdr:from>
    <xdr:to>
      <xdr:col>5</xdr:col>
      <xdr:colOff>1800225</xdr:colOff>
      <xdr:row>15</xdr:row>
      <xdr:rowOff>400050</xdr:rowOff>
    </xdr:to>
    <xdr:pic>
      <xdr:nvPicPr>
        <xdr:cNvPr id="2" name="1 Imagen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29300" y="2752725"/>
          <a:ext cx="6667500" cy="493395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theme="2" tint="-9.9978637043366805E-2"/>
  </sheetPr>
  <dimension ref="A1:G20"/>
  <sheetViews>
    <sheetView zoomScale="57" zoomScaleNormal="57" workbookViewId="0">
      <selection activeCell="E25" sqref="E25"/>
    </sheetView>
  </sheetViews>
  <sheetFormatPr baseColWidth="10" defaultRowHeight="33.75" x14ac:dyDescent="0.5"/>
  <sheetData>
    <row r="1" spans="1:6" x14ac:dyDescent="0.5">
      <c r="A1" t="s">
        <v>0</v>
      </c>
    </row>
    <row r="2" spans="1:6" x14ac:dyDescent="0.5">
      <c r="B2" t="s">
        <v>1</v>
      </c>
      <c r="C2" t="s">
        <v>2</v>
      </c>
      <c r="D2" t="s">
        <v>3</v>
      </c>
      <c r="E2" t="s">
        <v>4</v>
      </c>
      <c r="F2" t="s">
        <v>5</v>
      </c>
    </row>
    <row r="3" spans="1:6" x14ac:dyDescent="0.5">
      <c r="B3" t="s">
        <v>6</v>
      </c>
      <c r="C3" t="s">
        <v>7</v>
      </c>
      <c r="D3" t="s">
        <v>8</v>
      </c>
      <c r="E3" t="s">
        <v>9</v>
      </c>
      <c r="F3" t="s">
        <v>10</v>
      </c>
    </row>
    <row r="4" spans="1:6" x14ac:dyDescent="0.5">
      <c r="A4" t="s">
        <v>11</v>
      </c>
      <c r="B4" t="s">
        <v>12</v>
      </c>
      <c r="C4" t="s">
        <v>12</v>
      </c>
      <c r="D4" t="s">
        <v>12</v>
      </c>
      <c r="E4" t="s">
        <v>12</v>
      </c>
      <c r="F4" t="s">
        <v>12</v>
      </c>
    </row>
    <row r="5" spans="1:6" x14ac:dyDescent="0.5">
      <c r="A5" t="s">
        <v>13</v>
      </c>
      <c r="B5" t="s">
        <v>14</v>
      </c>
      <c r="C5" t="s">
        <v>14</v>
      </c>
      <c r="D5" t="s">
        <v>14</v>
      </c>
      <c r="E5" t="s">
        <v>14</v>
      </c>
      <c r="F5" t="s">
        <v>14</v>
      </c>
    </row>
    <row r="6" spans="1:6" x14ac:dyDescent="0.5">
      <c r="A6">
        <v>2008</v>
      </c>
      <c r="B6">
        <v>6</v>
      </c>
      <c r="C6">
        <v>78</v>
      </c>
      <c r="D6">
        <v>73</v>
      </c>
      <c r="E6">
        <v>37</v>
      </c>
      <c r="F6">
        <v>76</v>
      </c>
    </row>
    <row r="7" spans="1:6" x14ac:dyDescent="0.5">
      <c r="A7">
        <v>2009</v>
      </c>
      <c r="B7">
        <v>1</v>
      </c>
      <c r="C7">
        <v>89</v>
      </c>
      <c r="D7">
        <v>84</v>
      </c>
      <c r="E7">
        <v>41</v>
      </c>
      <c r="F7">
        <v>84</v>
      </c>
    </row>
    <row r="8" spans="1:6" x14ac:dyDescent="0.5">
      <c r="A8">
        <v>2010</v>
      </c>
      <c r="B8">
        <v>3</v>
      </c>
      <c r="C8">
        <v>92</v>
      </c>
      <c r="D8">
        <v>102</v>
      </c>
      <c r="E8">
        <v>48</v>
      </c>
      <c r="F8">
        <v>83</v>
      </c>
    </row>
    <row r="9" spans="1:6" x14ac:dyDescent="0.5">
      <c r="A9">
        <v>2011</v>
      </c>
      <c r="B9">
        <v>7</v>
      </c>
      <c r="C9">
        <v>96</v>
      </c>
      <c r="D9">
        <v>101</v>
      </c>
      <c r="E9">
        <v>46</v>
      </c>
      <c r="F9">
        <v>86</v>
      </c>
    </row>
    <row r="10" spans="1:6" x14ac:dyDescent="0.5">
      <c r="A10">
        <v>2012</v>
      </c>
      <c r="B10">
        <v>3</v>
      </c>
      <c r="C10">
        <v>94</v>
      </c>
      <c r="D10">
        <v>125</v>
      </c>
      <c r="E10">
        <v>53</v>
      </c>
      <c r="F10">
        <v>105</v>
      </c>
    </row>
    <row r="11" spans="1:6" x14ac:dyDescent="0.5">
      <c r="A11">
        <v>2013</v>
      </c>
      <c r="B11">
        <v>-4</v>
      </c>
      <c r="C11">
        <v>93</v>
      </c>
      <c r="D11">
        <v>133</v>
      </c>
      <c r="E11">
        <v>57</v>
      </c>
      <c r="F11">
        <v>104</v>
      </c>
    </row>
    <row r="12" spans="1:6" x14ac:dyDescent="0.5">
      <c r="A12">
        <v>2014</v>
      </c>
      <c r="B12">
        <v>-6</v>
      </c>
      <c r="C12">
        <v>96</v>
      </c>
      <c r="D12">
        <v>134</v>
      </c>
      <c r="E12">
        <v>58</v>
      </c>
      <c r="F12">
        <v>108</v>
      </c>
    </row>
    <row r="13" spans="1:6" x14ac:dyDescent="0.5">
      <c r="A13">
        <v>2015</v>
      </c>
      <c r="B13">
        <v>-9</v>
      </c>
      <c r="C13">
        <v>92</v>
      </c>
      <c r="D13">
        <v>138</v>
      </c>
      <c r="E13">
        <v>58</v>
      </c>
      <c r="F13">
        <v>104</v>
      </c>
    </row>
    <row r="14" spans="1:6" x14ac:dyDescent="0.5">
      <c r="A14">
        <v>2016</v>
      </c>
      <c r="B14">
        <v>-11</v>
      </c>
      <c r="C14">
        <v>88</v>
      </c>
      <c r="D14">
        <v>137</v>
      </c>
      <c r="E14">
        <v>56</v>
      </c>
      <c r="F14">
        <v>96</v>
      </c>
    </row>
    <row r="15" spans="1:6" x14ac:dyDescent="0.5">
      <c r="A15">
        <v>2017</v>
      </c>
      <c r="B15">
        <v>-15</v>
      </c>
      <c r="C15">
        <v>86</v>
      </c>
      <c r="D15">
        <v>138</v>
      </c>
      <c r="E15">
        <v>54</v>
      </c>
      <c r="F15">
        <v>93</v>
      </c>
    </row>
    <row r="16" spans="1:6" x14ac:dyDescent="0.5">
      <c r="A16">
        <v>2018</v>
      </c>
      <c r="B16">
        <v>-14</v>
      </c>
      <c r="C16">
        <v>80</v>
      </c>
      <c r="D16">
        <v>143</v>
      </c>
      <c r="E16">
        <v>52</v>
      </c>
      <c r="F16">
        <v>89</v>
      </c>
    </row>
    <row r="17" spans="1:7" x14ac:dyDescent="0.5">
      <c r="A17">
        <v>2019</v>
      </c>
      <c r="B17">
        <v>-15</v>
      </c>
      <c r="C17">
        <v>75</v>
      </c>
      <c r="D17">
        <v>141</v>
      </c>
      <c r="E17">
        <v>51</v>
      </c>
      <c r="F17">
        <v>84</v>
      </c>
    </row>
    <row r="18" spans="1:7" x14ac:dyDescent="0.5">
      <c r="A18">
        <v>2020</v>
      </c>
      <c r="B18">
        <v>-14</v>
      </c>
      <c r="C18">
        <v>87</v>
      </c>
      <c r="D18">
        <v>162</v>
      </c>
      <c r="E18">
        <v>58</v>
      </c>
      <c r="F18">
        <v>88</v>
      </c>
    </row>
    <row r="19" spans="1:7" x14ac:dyDescent="0.5">
      <c r="A19">
        <v>2021</v>
      </c>
      <c r="B19">
        <v>-10</v>
      </c>
      <c r="C19">
        <v>78</v>
      </c>
      <c r="D19">
        <v>160</v>
      </c>
      <c r="E19">
        <v>56</v>
      </c>
      <c r="F19">
        <v>80</v>
      </c>
    </row>
    <row r="20" spans="1:7" x14ac:dyDescent="0.5">
      <c r="A20" s="10" t="s">
        <v>15</v>
      </c>
      <c r="B20" s="10"/>
      <c r="C20" s="10"/>
      <c r="D20" s="10"/>
      <c r="E20" s="10"/>
      <c r="F20" s="10"/>
      <c r="G20" s="10"/>
    </row>
  </sheetData>
  <sheetProtection password="88E9" sheet="1" objects="1" scenarios="1" selectLockedCells="1" selectUnlockedCells="1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tabColor theme="3" tint="0.79998168889431442"/>
  </sheetPr>
  <dimension ref="A1:U32"/>
  <sheetViews>
    <sheetView topLeftCell="A3" zoomScale="50" zoomScaleNormal="37" workbookViewId="0">
      <selection activeCell="L23" sqref="L23"/>
    </sheetView>
  </sheetViews>
  <sheetFormatPr baseColWidth="10" defaultRowHeight="33.75" x14ac:dyDescent="0.5"/>
  <sheetData>
    <row r="1" spans="1:11" x14ac:dyDescent="0.5">
      <c r="A1" t="s">
        <v>16</v>
      </c>
    </row>
    <row r="2" spans="1:11" x14ac:dyDescent="0.5">
      <c r="B2" t="s">
        <v>17</v>
      </c>
      <c r="C2" t="s">
        <v>18</v>
      </c>
      <c r="D2" t="s">
        <v>19</v>
      </c>
      <c r="E2" t="s">
        <v>20</v>
      </c>
    </row>
    <row r="3" spans="1:11" x14ac:dyDescent="0.5">
      <c r="B3" t="s">
        <v>6</v>
      </c>
      <c r="C3" t="s">
        <v>7</v>
      </c>
      <c r="D3" t="s">
        <v>21</v>
      </c>
      <c r="E3" t="s">
        <v>9</v>
      </c>
    </row>
    <row r="4" spans="1:11" x14ac:dyDescent="0.5">
      <c r="A4" t="s">
        <v>11</v>
      </c>
      <c r="B4" t="s">
        <v>22</v>
      </c>
      <c r="C4" t="s">
        <v>22</v>
      </c>
      <c r="D4" t="s">
        <v>22</v>
      </c>
      <c r="E4" t="s">
        <v>22</v>
      </c>
    </row>
    <row r="5" spans="1:11" x14ac:dyDescent="0.5">
      <c r="A5" t="s">
        <v>13</v>
      </c>
      <c r="G5" s="15"/>
      <c r="H5" s="15" t="s">
        <v>6</v>
      </c>
      <c r="I5" s="15" t="s">
        <v>7</v>
      </c>
      <c r="J5" s="15" t="s">
        <v>21</v>
      </c>
      <c r="K5" s="15" t="s">
        <v>9</v>
      </c>
    </row>
    <row r="6" spans="1:11" x14ac:dyDescent="0.5">
      <c r="A6">
        <v>2000</v>
      </c>
      <c r="B6">
        <v>87.07</v>
      </c>
      <c r="C6">
        <v>86.85</v>
      </c>
      <c r="D6">
        <v>87.53</v>
      </c>
      <c r="E6">
        <v>99.12</v>
      </c>
      <c r="G6" s="15">
        <v>2000</v>
      </c>
      <c r="H6" s="15">
        <f>(B6/B$6)*100</f>
        <v>100</v>
      </c>
      <c r="I6" s="15">
        <f t="shared" ref="I6:K21" si="0">(C6/C$6)*100</f>
        <v>100</v>
      </c>
      <c r="J6" s="15">
        <f t="shared" si="0"/>
        <v>100</v>
      </c>
      <c r="K6" s="15">
        <f t="shared" si="0"/>
        <v>100</v>
      </c>
    </row>
    <row r="7" spans="1:11" x14ac:dyDescent="0.5">
      <c r="A7">
        <v>2001</v>
      </c>
      <c r="B7">
        <v>89.26</v>
      </c>
      <c r="C7">
        <v>86.99</v>
      </c>
      <c r="D7">
        <v>89.16</v>
      </c>
      <c r="E7">
        <v>99.78</v>
      </c>
      <c r="G7" s="15">
        <v>2001</v>
      </c>
      <c r="H7" s="15">
        <f t="shared" ref="H7:H31" si="1">(B7/B$6)*100</f>
        <v>102.51521764097853</v>
      </c>
      <c r="I7" s="15">
        <f t="shared" si="0"/>
        <v>100.16119746689695</v>
      </c>
      <c r="J7" s="15">
        <f t="shared" si="0"/>
        <v>101.8622186678853</v>
      </c>
      <c r="K7" s="15">
        <f t="shared" si="0"/>
        <v>100.66585956416465</v>
      </c>
    </row>
    <row r="8" spans="1:11" x14ac:dyDescent="0.5">
      <c r="A8">
        <v>2002</v>
      </c>
      <c r="B8">
        <v>90.08</v>
      </c>
      <c r="C8">
        <v>87.13</v>
      </c>
      <c r="D8">
        <v>91.77</v>
      </c>
      <c r="E8">
        <v>99</v>
      </c>
      <c r="G8" s="15">
        <v>2002</v>
      </c>
      <c r="H8" s="15">
        <f t="shared" si="1"/>
        <v>103.45698862983808</v>
      </c>
      <c r="I8" s="15">
        <f t="shared" si="0"/>
        <v>100.32239493379389</v>
      </c>
      <c r="J8" s="15">
        <f t="shared" si="0"/>
        <v>104.84405346738261</v>
      </c>
      <c r="K8" s="15">
        <f t="shared" si="0"/>
        <v>99.878934624697337</v>
      </c>
    </row>
    <row r="9" spans="1:11" x14ac:dyDescent="0.5">
      <c r="A9">
        <v>2003</v>
      </c>
      <c r="B9">
        <v>90.77</v>
      </c>
      <c r="C9">
        <v>87.39</v>
      </c>
      <c r="D9">
        <v>92.29</v>
      </c>
      <c r="E9">
        <v>98.3</v>
      </c>
      <c r="G9" s="15">
        <v>2003</v>
      </c>
      <c r="H9" s="15">
        <f t="shared" si="1"/>
        <v>104.2494544619272</v>
      </c>
      <c r="I9" s="15">
        <f t="shared" si="0"/>
        <v>100.62176165803109</v>
      </c>
      <c r="J9" s="15">
        <f t="shared" si="0"/>
        <v>105.43813549640124</v>
      </c>
      <c r="K9" s="15">
        <f t="shared" si="0"/>
        <v>99.1727199354318</v>
      </c>
    </row>
    <row r="10" spans="1:11" x14ac:dyDescent="0.5">
      <c r="A10">
        <v>2004</v>
      </c>
      <c r="B10">
        <v>91.61</v>
      </c>
      <c r="C10">
        <v>87.67</v>
      </c>
      <c r="D10">
        <v>93.31</v>
      </c>
      <c r="E10">
        <v>99.12</v>
      </c>
      <c r="G10" s="15">
        <v>2004</v>
      </c>
      <c r="H10" s="15">
        <f t="shared" si="1"/>
        <v>105.21419547490525</v>
      </c>
      <c r="I10" s="15">
        <f t="shared" si="0"/>
        <v>100.94415659182499</v>
      </c>
      <c r="J10" s="15">
        <f t="shared" si="0"/>
        <v>106.60345024563007</v>
      </c>
      <c r="K10" s="15">
        <f t="shared" si="0"/>
        <v>100</v>
      </c>
    </row>
    <row r="11" spans="1:11" x14ac:dyDescent="0.5">
      <c r="A11">
        <v>2005</v>
      </c>
      <c r="B11">
        <v>93.05</v>
      </c>
      <c r="C11">
        <v>88.01</v>
      </c>
      <c r="D11">
        <v>94.14</v>
      </c>
      <c r="E11">
        <v>99.57</v>
      </c>
      <c r="G11" s="15">
        <v>2005</v>
      </c>
      <c r="H11" s="15">
        <f t="shared" si="1"/>
        <v>106.86803721143907</v>
      </c>
      <c r="I11" s="15">
        <f t="shared" si="0"/>
        <v>101.33563615428902</v>
      </c>
      <c r="J11" s="15">
        <f t="shared" si="0"/>
        <v>107.55169656117903</v>
      </c>
      <c r="K11" s="15">
        <f t="shared" si="0"/>
        <v>100.45399515738498</v>
      </c>
    </row>
    <row r="12" spans="1:11" x14ac:dyDescent="0.5">
      <c r="A12">
        <v>2006</v>
      </c>
      <c r="B12">
        <v>94.53</v>
      </c>
      <c r="C12">
        <v>88.52</v>
      </c>
      <c r="D12">
        <v>96.48</v>
      </c>
      <c r="E12">
        <v>99.35</v>
      </c>
      <c r="G12" s="15">
        <v>2006</v>
      </c>
      <c r="H12" s="15">
        <f t="shared" si="1"/>
        <v>108.56781899620995</v>
      </c>
      <c r="I12" s="15">
        <f t="shared" si="0"/>
        <v>101.92285549798503</v>
      </c>
      <c r="J12" s="15">
        <f t="shared" si="0"/>
        <v>110.22506569176282</v>
      </c>
      <c r="K12" s="15">
        <f t="shared" si="0"/>
        <v>100.23204196933008</v>
      </c>
    </row>
    <row r="13" spans="1:11" x14ac:dyDescent="0.5">
      <c r="A13">
        <v>2007</v>
      </c>
      <c r="B13">
        <v>95.66</v>
      </c>
      <c r="C13">
        <v>89.5</v>
      </c>
      <c r="D13">
        <v>96.03</v>
      </c>
      <c r="E13">
        <v>99.27</v>
      </c>
      <c r="G13" s="15">
        <v>2007</v>
      </c>
      <c r="H13" s="15">
        <f t="shared" si="1"/>
        <v>109.86562535890663</v>
      </c>
      <c r="I13" s="15">
        <f t="shared" si="0"/>
        <v>103.05123776626368</v>
      </c>
      <c r="J13" s="15">
        <f t="shared" si="0"/>
        <v>109.71095624357363</v>
      </c>
      <c r="K13" s="15">
        <f t="shared" si="0"/>
        <v>100.15133171912831</v>
      </c>
    </row>
    <row r="14" spans="1:11" x14ac:dyDescent="0.5">
      <c r="A14">
        <v>2008</v>
      </c>
      <c r="B14">
        <v>95.68</v>
      </c>
      <c r="C14">
        <v>89.73</v>
      </c>
      <c r="D14">
        <v>95.42</v>
      </c>
      <c r="E14">
        <v>98.71</v>
      </c>
      <c r="G14" s="15">
        <v>2008</v>
      </c>
      <c r="H14" s="15">
        <f t="shared" si="1"/>
        <v>109.88859538302518</v>
      </c>
      <c r="I14" s="15">
        <f t="shared" si="0"/>
        <v>103.31606217616583</v>
      </c>
      <c r="J14" s="15">
        <f t="shared" si="0"/>
        <v>109.01405232491716</v>
      </c>
      <c r="K14" s="15">
        <f t="shared" si="0"/>
        <v>99.586359967715893</v>
      </c>
    </row>
    <row r="15" spans="1:11" x14ac:dyDescent="0.5">
      <c r="A15">
        <v>2009</v>
      </c>
      <c r="B15">
        <v>92.8</v>
      </c>
      <c r="C15">
        <v>91.9</v>
      </c>
      <c r="D15">
        <v>94.44</v>
      </c>
      <c r="E15">
        <v>96.74</v>
      </c>
      <c r="G15" s="15">
        <v>2009</v>
      </c>
      <c r="H15" s="15">
        <f t="shared" si="1"/>
        <v>106.58091190995751</v>
      </c>
      <c r="I15" s="15">
        <f t="shared" si="0"/>
        <v>105.81462291306852</v>
      </c>
      <c r="J15" s="15">
        <f t="shared" si="0"/>
        <v>107.89443619330514</v>
      </c>
      <c r="K15" s="15">
        <f t="shared" si="0"/>
        <v>97.598870056497162</v>
      </c>
    </row>
    <row r="16" spans="1:11" x14ac:dyDescent="0.5">
      <c r="A16">
        <v>2010</v>
      </c>
      <c r="B16">
        <v>94.94</v>
      </c>
      <c r="C16">
        <v>94.23</v>
      </c>
      <c r="D16">
        <v>95.66</v>
      </c>
      <c r="E16">
        <v>98.94</v>
      </c>
      <c r="G16" s="15">
        <v>2010</v>
      </c>
      <c r="H16" s="15">
        <f t="shared" si="1"/>
        <v>109.03870449063973</v>
      </c>
      <c r="I16" s="15">
        <f t="shared" si="0"/>
        <v>108.49740932642489</v>
      </c>
      <c r="J16" s="15">
        <f t="shared" si="0"/>
        <v>109.28824403061807</v>
      </c>
      <c r="K16" s="15">
        <f t="shared" si="0"/>
        <v>99.818401937045991</v>
      </c>
    </row>
    <row r="17" spans="1:21" x14ac:dyDescent="0.5">
      <c r="A17">
        <v>2011</v>
      </c>
      <c r="B17">
        <v>97.4</v>
      </c>
      <c r="C17">
        <v>95.62</v>
      </c>
      <c r="D17">
        <v>96.62</v>
      </c>
      <c r="E17">
        <v>99.61</v>
      </c>
      <c r="G17" s="15">
        <v>2011</v>
      </c>
      <c r="H17" s="15">
        <f t="shared" si="1"/>
        <v>111.86401745721835</v>
      </c>
      <c r="I17" s="15">
        <f t="shared" si="0"/>
        <v>110.09786989061601</v>
      </c>
      <c r="J17" s="15">
        <f t="shared" si="0"/>
        <v>110.38501085342169</v>
      </c>
      <c r="K17" s="15">
        <f t="shared" si="0"/>
        <v>100.49435028248588</v>
      </c>
    </row>
    <row r="18" spans="1:21" x14ac:dyDescent="0.5">
      <c r="A18">
        <v>2012</v>
      </c>
      <c r="B18">
        <v>98.01</v>
      </c>
      <c r="C18">
        <v>97.47</v>
      </c>
      <c r="D18">
        <v>96.94</v>
      </c>
      <c r="E18">
        <v>99.07</v>
      </c>
      <c r="G18" s="15">
        <v>2012</v>
      </c>
      <c r="H18" s="15">
        <f t="shared" si="1"/>
        <v>112.56460319283337</v>
      </c>
      <c r="I18" s="15">
        <f t="shared" si="0"/>
        <v>112.22797927461141</v>
      </c>
      <c r="J18" s="15">
        <f t="shared" si="0"/>
        <v>110.75059979435622</v>
      </c>
      <c r="K18" s="15">
        <f t="shared" si="0"/>
        <v>99.949556093623883</v>
      </c>
    </row>
    <row r="19" spans="1:21" x14ac:dyDescent="0.5">
      <c r="A19">
        <v>2013</v>
      </c>
      <c r="B19">
        <v>98.47</v>
      </c>
      <c r="C19">
        <v>98.91</v>
      </c>
      <c r="D19">
        <v>98.25</v>
      </c>
      <c r="E19">
        <v>99.86</v>
      </c>
      <c r="G19" s="15">
        <v>2013</v>
      </c>
      <c r="H19" s="15">
        <f t="shared" si="1"/>
        <v>113.09291374755944</v>
      </c>
      <c r="I19" s="15">
        <f t="shared" si="0"/>
        <v>113.88601036269431</v>
      </c>
      <c r="J19" s="15">
        <f t="shared" si="0"/>
        <v>112.24722952130696</v>
      </c>
      <c r="K19" s="15">
        <f t="shared" si="0"/>
        <v>100.74656981436642</v>
      </c>
    </row>
    <row r="20" spans="1:21" x14ac:dyDescent="0.5">
      <c r="A20">
        <v>2014</v>
      </c>
      <c r="B20">
        <v>99.5</v>
      </c>
      <c r="C20">
        <v>99.21</v>
      </c>
      <c r="D20">
        <v>99.2</v>
      </c>
      <c r="E20">
        <v>99.94</v>
      </c>
      <c r="G20" s="15">
        <v>2014</v>
      </c>
      <c r="H20" s="15">
        <f t="shared" si="1"/>
        <v>114.27586998966351</v>
      </c>
      <c r="I20" s="15">
        <f t="shared" si="0"/>
        <v>114.23143350604489</v>
      </c>
      <c r="J20" s="15">
        <f t="shared" si="0"/>
        <v>113.33257168970638</v>
      </c>
      <c r="K20" s="15">
        <f t="shared" si="0"/>
        <v>100.8272800645682</v>
      </c>
    </row>
    <row r="21" spans="1:21" x14ac:dyDescent="0.5">
      <c r="A21">
        <v>2015</v>
      </c>
      <c r="B21">
        <v>100</v>
      </c>
      <c r="C21">
        <v>100</v>
      </c>
      <c r="D21">
        <v>100</v>
      </c>
      <c r="E21">
        <v>100</v>
      </c>
      <c r="G21" s="15">
        <v>2015</v>
      </c>
      <c r="H21" s="15">
        <f t="shared" si="1"/>
        <v>114.85012059262662</v>
      </c>
      <c r="I21" s="15">
        <f t="shared" si="0"/>
        <v>115.14104778353484</v>
      </c>
      <c r="J21" s="15">
        <f t="shared" si="0"/>
        <v>114.24654404204273</v>
      </c>
      <c r="K21" s="15">
        <f t="shared" si="0"/>
        <v>100.88781275221952</v>
      </c>
    </row>
    <row r="22" spans="1:21" x14ac:dyDescent="0.5">
      <c r="A22">
        <v>2016</v>
      </c>
      <c r="B22">
        <v>101.36</v>
      </c>
      <c r="C22">
        <v>100.46</v>
      </c>
      <c r="D22">
        <v>100.28</v>
      </c>
      <c r="E22">
        <v>99.69</v>
      </c>
      <c r="G22" s="15">
        <v>2016</v>
      </c>
      <c r="H22" s="15">
        <f t="shared" si="1"/>
        <v>116.41208223268636</v>
      </c>
      <c r="I22" s="15">
        <f t="shared" ref="I22:I31" si="2">(C22/C$6)*100</f>
        <v>115.67069660333908</v>
      </c>
      <c r="J22" s="15">
        <f t="shared" ref="J22:J31" si="3">(D22/D$6)*100</f>
        <v>114.56643436536045</v>
      </c>
      <c r="K22" s="15">
        <f t="shared" ref="K22:K31" si="4">(E22/E$6)*100</f>
        <v>100.57506053268766</v>
      </c>
    </row>
    <row r="23" spans="1:21" x14ac:dyDescent="0.5">
      <c r="A23">
        <v>2017</v>
      </c>
      <c r="B23">
        <v>103.16</v>
      </c>
      <c r="C23">
        <v>101.33</v>
      </c>
      <c r="D23">
        <v>102.4</v>
      </c>
      <c r="E23">
        <v>100.34</v>
      </c>
      <c r="G23" s="15">
        <v>2017</v>
      </c>
      <c r="H23" s="15">
        <f t="shared" si="1"/>
        <v>118.47938440335363</v>
      </c>
      <c r="I23" s="15">
        <f t="shared" si="2"/>
        <v>116.67242371905584</v>
      </c>
      <c r="J23" s="15">
        <f t="shared" si="3"/>
        <v>116.98846109905176</v>
      </c>
      <c r="K23" s="15">
        <f t="shared" si="4"/>
        <v>101.23083131557709</v>
      </c>
    </row>
    <row r="24" spans="1:21" x14ac:dyDescent="0.5">
      <c r="A24">
        <v>2018</v>
      </c>
      <c r="B24">
        <v>103.38</v>
      </c>
      <c r="C24">
        <v>101.1</v>
      </c>
      <c r="D24">
        <v>102.81</v>
      </c>
      <c r="E24">
        <v>100.32</v>
      </c>
      <c r="G24" s="15">
        <v>2018</v>
      </c>
      <c r="H24" s="15">
        <f t="shared" si="1"/>
        <v>118.73205466865741</v>
      </c>
      <c r="I24" s="15">
        <f t="shared" si="2"/>
        <v>116.40759930915372</v>
      </c>
      <c r="J24" s="15">
        <f t="shared" si="3"/>
        <v>117.45687192962413</v>
      </c>
      <c r="K24" s="15">
        <f t="shared" si="4"/>
        <v>101.21065375302662</v>
      </c>
    </row>
    <row r="25" spans="1:21" x14ac:dyDescent="0.5">
      <c r="A25">
        <v>2019</v>
      </c>
      <c r="B25">
        <v>104.16</v>
      </c>
      <c r="C25">
        <v>101.66</v>
      </c>
      <c r="D25">
        <v>103.22</v>
      </c>
      <c r="E25">
        <v>100.82</v>
      </c>
      <c r="G25" s="15">
        <v>2019</v>
      </c>
      <c r="H25" s="15">
        <f t="shared" si="1"/>
        <v>119.6278856092799</v>
      </c>
      <c r="I25" s="15">
        <f t="shared" si="2"/>
        <v>117.05238917674153</v>
      </c>
      <c r="J25" s="15">
        <f t="shared" si="3"/>
        <v>117.9252827601965</v>
      </c>
      <c r="K25" s="15">
        <f t="shared" si="4"/>
        <v>101.71509281678772</v>
      </c>
    </row>
    <row r="26" spans="1:21" x14ac:dyDescent="0.5">
      <c r="A26">
        <v>2020</v>
      </c>
      <c r="B26">
        <v>105.19</v>
      </c>
      <c r="C26">
        <v>101.7</v>
      </c>
      <c r="D26">
        <v>103.74</v>
      </c>
      <c r="E26">
        <v>103.88</v>
      </c>
      <c r="G26" s="15">
        <v>2020</v>
      </c>
      <c r="H26" s="15">
        <f t="shared" si="1"/>
        <v>120.81084185138396</v>
      </c>
      <c r="I26" s="15">
        <f t="shared" si="2"/>
        <v>117.09844559585494</v>
      </c>
      <c r="J26" s="15">
        <f t="shared" si="3"/>
        <v>118.51936478921512</v>
      </c>
      <c r="K26" s="15">
        <f t="shared" si="4"/>
        <v>104.80225988700565</v>
      </c>
    </row>
    <row r="27" spans="1:21" x14ac:dyDescent="0.5">
      <c r="A27">
        <v>2021</v>
      </c>
      <c r="B27">
        <v>106.1</v>
      </c>
      <c r="C27">
        <v>100.12</v>
      </c>
      <c r="D27">
        <v>102.11</v>
      </c>
      <c r="E27">
        <v>102.57</v>
      </c>
      <c r="G27" s="15">
        <v>2021</v>
      </c>
      <c r="H27" s="15">
        <f t="shared" si="1"/>
        <v>121.85597794877685</v>
      </c>
      <c r="I27" s="15">
        <f t="shared" si="2"/>
        <v>115.2792170408751</v>
      </c>
      <c r="J27" s="15">
        <f t="shared" si="3"/>
        <v>116.65714612132983</v>
      </c>
      <c r="K27" s="15">
        <f t="shared" si="4"/>
        <v>103.48062953995156</v>
      </c>
    </row>
    <row r="28" spans="1:21" x14ac:dyDescent="0.5">
      <c r="G28" s="15"/>
      <c r="H28" s="15">
        <f t="shared" si="1"/>
        <v>0</v>
      </c>
      <c r="I28" s="15">
        <f t="shared" si="2"/>
        <v>0</v>
      </c>
      <c r="J28" s="15">
        <f t="shared" si="3"/>
        <v>0</v>
      </c>
      <c r="K28" s="15">
        <f t="shared" si="4"/>
        <v>0</v>
      </c>
    </row>
    <row r="29" spans="1:21" x14ac:dyDescent="0.5">
      <c r="G29" s="15"/>
      <c r="H29" s="15">
        <f t="shared" si="1"/>
        <v>0</v>
      </c>
      <c r="I29" s="15">
        <f t="shared" si="2"/>
        <v>0</v>
      </c>
      <c r="J29" s="15">
        <f t="shared" si="3"/>
        <v>0</v>
      </c>
      <c r="K29" s="15">
        <f t="shared" si="4"/>
        <v>0</v>
      </c>
    </row>
    <row r="30" spans="1:21" x14ac:dyDescent="0.5">
      <c r="G30" s="15"/>
      <c r="H30" s="15">
        <f t="shared" si="1"/>
        <v>0</v>
      </c>
      <c r="I30" s="15">
        <f t="shared" si="2"/>
        <v>0</v>
      </c>
      <c r="J30" s="15">
        <f t="shared" si="3"/>
        <v>0</v>
      </c>
      <c r="K30" s="15">
        <f t="shared" si="4"/>
        <v>0</v>
      </c>
    </row>
    <row r="31" spans="1:21" x14ac:dyDescent="0.5">
      <c r="G31" s="15"/>
      <c r="H31" s="15">
        <f t="shared" si="1"/>
        <v>0</v>
      </c>
      <c r="I31" s="15">
        <f t="shared" si="2"/>
        <v>0</v>
      </c>
      <c r="J31" s="15">
        <f t="shared" si="3"/>
        <v>0</v>
      </c>
      <c r="K31" s="15">
        <f t="shared" si="4"/>
        <v>0</v>
      </c>
    </row>
    <row r="32" spans="1:21" ht="61.5" x14ac:dyDescent="0.9">
      <c r="A32" s="12" t="s">
        <v>23</v>
      </c>
      <c r="B32" s="11"/>
      <c r="C32" s="11"/>
      <c r="D32" s="11"/>
      <c r="E32" s="11"/>
      <c r="F32" s="11"/>
      <c r="G32" s="11"/>
      <c r="H32" s="11"/>
      <c r="I32" s="11"/>
      <c r="J32" s="11"/>
      <c r="K32" s="11"/>
      <c r="L32" s="11"/>
      <c r="M32" s="11"/>
      <c r="N32" s="11"/>
      <c r="O32" s="11"/>
      <c r="P32" s="11"/>
      <c r="Q32" s="11"/>
      <c r="R32" s="11"/>
      <c r="S32" s="11"/>
      <c r="T32" s="11"/>
      <c r="U32" s="11"/>
    </row>
  </sheetData>
  <sheetProtection selectLockedCells="1" selectUnlockedCells="1"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>
    <tabColor theme="5" tint="0.79998168889431442"/>
  </sheetPr>
  <dimension ref="A1:V318"/>
  <sheetViews>
    <sheetView topLeftCell="A291" zoomScale="46" zoomScaleNormal="46" workbookViewId="0">
      <selection activeCell="C311" sqref="C311"/>
    </sheetView>
  </sheetViews>
  <sheetFormatPr baseColWidth="10" defaultColWidth="3.5546875" defaultRowHeight="33.75" x14ac:dyDescent="0.5"/>
  <cols>
    <col min="1" max="1" width="40.609375" style="1" customWidth="1"/>
    <col min="2" max="4" width="15.83203125" style="2" customWidth="1"/>
    <col min="5" max="5" width="15.83203125" style="5" customWidth="1"/>
    <col min="6" max="9" width="15.83203125" style="2" customWidth="1"/>
    <col min="10" max="10" width="15.83203125" style="5" customWidth="1"/>
    <col min="11" max="22" width="15.83203125" style="2" customWidth="1"/>
  </cols>
  <sheetData>
    <row r="1" spans="1:21" customFormat="1" ht="67.5" x14ac:dyDescent="0.5">
      <c r="A1" s="1" t="s">
        <v>24</v>
      </c>
      <c r="B1" s="2" t="s">
        <v>25</v>
      </c>
      <c r="C1" s="2" t="s">
        <v>26</v>
      </c>
      <c r="D1" s="2" t="s">
        <v>27</v>
      </c>
      <c r="E1" s="5" t="s">
        <v>28</v>
      </c>
      <c r="F1" s="2" t="s">
        <v>29</v>
      </c>
      <c r="G1" s="2" t="s">
        <v>30</v>
      </c>
      <c r="H1" s="2" t="s">
        <v>31</v>
      </c>
      <c r="I1" s="2" t="s">
        <v>32</v>
      </c>
      <c r="J1" s="5" t="s">
        <v>33</v>
      </c>
      <c r="K1" s="2" t="s">
        <v>34</v>
      </c>
      <c r="L1" s="2" t="s">
        <v>35</v>
      </c>
      <c r="M1" s="2" t="s">
        <v>36</v>
      </c>
      <c r="N1" s="2" t="s">
        <v>37</v>
      </c>
      <c r="O1" s="2" t="s">
        <v>38</v>
      </c>
      <c r="P1" s="2" t="s">
        <v>39</v>
      </c>
      <c r="Q1" s="2" t="s">
        <v>40</v>
      </c>
      <c r="R1" s="2" t="s">
        <v>41</v>
      </c>
      <c r="S1" s="2" t="s">
        <v>42</v>
      </c>
      <c r="T1" s="2" t="s">
        <v>43</v>
      </c>
      <c r="U1" s="2" t="s">
        <v>44</v>
      </c>
    </row>
    <row r="2" spans="1:21" s="3" customFormat="1" x14ac:dyDescent="0.5">
      <c r="A2" s="3" t="s">
        <v>45</v>
      </c>
      <c r="B2" s="3">
        <v>854409</v>
      </c>
      <c r="C2" s="3">
        <v>1504155</v>
      </c>
      <c r="D2" s="3">
        <v>854406</v>
      </c>
      <c r="E2" s="6">
        <v>854408</v>
      </c>
      <c r="F2" s="3">
        <v>1504131</v>
      </c>
      <c r="G2" s="3">
        <v>1504132</v>
      </c>
      <c r="H2" s="3">
        <v>1504133</v>
      </c>
      <c r="I2" s="3">
        <v>1504134</v>
      </c>
      <c r="J2" s="6">
        <v>854407</v>
      </c>
      <c r="K2" s="3">
        <v>1504135</v>
      </c>
      <c r="L2" s="3">
        <v>854410</v>
      </c>
      <c r="M2" s="3">
        <v>854405</v>
      </c>
      <c r="N2" s="3">
        <v>1504480</v>
      </c>
      <c r="O2" s="3">
        <v>1504481</v>
      </c>
      <c r="P2" s="3">
        <v>1504483</v>
      </c>
      <c r="Q2" s="3">
        <v>1504484</v>
      </c>
      <c r="R2" s="3">
        <v>1504485</v>
      </c>
      <c r="S2" s="3">
        <v>573223</v>
      </c>
      <c r="T2" s="3">
        <v>1504486</v>
      </c>
      <c r="U2" s="3">
        <v>1504487</v>
      </c>
    </row>
    <row r="3" spans="1:21" customFormat="1" x14ac:dyDescent="0.5">
      <c r="A3" s="1" t="s">
        <v>46</v>
      </c>
      <c r="B3" s="2" t="s">
        <v>47</v>
      </c>
      <c r="C3" s="2" t="s">
        <v>48</v>
      </c>
      <c r="D3" s="2" t="s">
        <v>49</v>
      </c>
      <c r="E3" s="5" t="s">
        <v>50</v>
      </c>
      <c r="F3" s="2" t="s">
        <v>51</v>
      </c>
      <c r="G3" s="2" t="s">
        <v>52</v>
      </c>
      <c r="H3" s="2" t="s">
        <v>53</v>
      </c>
      <c r="I3" s="2" t="s">
        <v>54</v>
      </c>
      <c r="J3" s="5" t="s">
        <v>55</v>
      </c>
      <c r="K3" s="2" t="s">
        <v>56</v>
      </c>
      <c r="L3" s="2" t="s">
        <v>57</v>
      </c>
      <c r="M3" s="2" t="s">
        <v>58</v>
      </c>
      <c r="N3" s="2" t="s">
        <v>59</v>
      </c>
      <c r="O3" s="2" t="s">
        <v>60</v>
      </c>
      <c r="P3" s="2" t="s">
        <v>61</v>
      </c>
      <c r="Q3" s="2" t="s">
        <v>62</v>
      </c>
      <c r="R3" s="2" t="s">
        <v>63</v>
      </c>
      <c r="S3" s="2" t="s">
        <v>64</v>
      </c>
      <c r="T3" s="2" t="s">
        <v>65</v>
      </c>
      <c r="U3" s="2" t="s">
        <v>66</v>
      </c>
    </row>
    <row r="4" spans="1:21" customFormat="1" ht="202.5" x14ac:dyDescent="0.5">
      <c r="A4" s="1" t="s">
        <v>67</v>
      </c>
      <c r="B4" s="2" t="s">
        <v>68</v>
      </c>
      <c r="C4" s="2" t="s">
        <v>69</v>
      </c>
      <c r="D4" s="2" t="s">
        <v>70</v>
      </c>
      <c r="E4" s="5" t="s">
        <v>71</v>
      </c>
      <c r="F4" s="2" t="s">
        <v>72</v>
      </c>
      <c r="G4" s="2" t="s">
        <v>73</v>
      </c>
      <c r="H4" s="2" t="s">
        <v>74</v>
      </c>
      <c r="I4" s="2" t="s">
        <v>75</v>
      </c>
      <c r="J4" s="5" t="s">
        <v>76</v>
      </c>
      <c r="K4" s="2" t="s">
        <v>77</v>
      </c>
      <c r="L4" s="2" t="s">
        <v>78</v>
      </c>
      <c r="M4" s="2" t="s">
        <v>79</v>
      </c>
      <c r="N4" s="2" t="s">
        <v>80</v>
      </c>
      <c r="O4" s="2" t="s">
        <v>81</v>
      </c>
      <c r="P4" s="2" t="s">
        <v>82</v>
      </c>
      <c r="Q4" s="2" t="s">
        <v>83</v>
      </c>
      <c r="R4" s="2" t="s">
        <v>84</v>
      </c>
      <c r="S4" s="2" t="s">
        <v>85</v>
      </c>
      <c r="T4" s="2" t="s">
        <v>86</v>
      </c>
      <c r="U4" s="2" t="s">
        <v>87</v>
      </c>
    </row>
    <row r="5" spans="1:21" customFormat="1" ht="101.25" x14ac:dyDescent="0.5">
      <c r="A5" s="1" t="s">
        <v>88</v>
      </c>
      <c r="B5" s="2" t="s">
        <v>89</v>
      </c>
      <c r="C5" s="2" t="s">
        <v>90</v>
      </c>
      <c r="D5" s="2" t="s">
        <v>91</v>
      </c>
      <c r="E5" s="5" t="s">
        <v>92</v>
      </c>
      <c r="F5" s="2" t="s">
        <v>93</v>
      </c>
      <c r="G5" s="2" t="s">
        <v>94</v>
      </c>
      <c r="H5" s="2" t="s">
        <v>95</v>
      </c>
      <c r="I5" s="2" t="s">
        <v>96</v>
      </c>
      <c r="J5" s="5" t="s">
        <v>97</v>
      </c>
      <c r="K5" s="2" t="s">
        <v>98</v>
      </c>
      <c r="L5" s="2" t="s">
        <v>99</v>
      </c>
      <c r="M5" s="2" t="s">
        <v>100</v>
      </c>
      <c r="N5" s="2" t="s">
        <v>101</v>
      </c>
      <c r="O5" s="2" t="s">
        <v>102</v>
      </c>
      <c r="P5" s="2" t="s">
        <v>103</v>
      </c>
      <c r="Q5" s="2" t="s">
        <v>104</v>
      </c>
      <c r="R5" s="2" t="s">
        <v>105</v>
      </c>
      <c r="S5" s="2" t="s">
        <v>106</v>
      </c>
      <c r="T5" s="2" t="s">
        <v>107</v>
      </c>
      <c r="U5" s="2" t="s">
        <v>108</v>
      </c>
    </row>
    <row r="6" spans="1:21" customFormat="1" x14ac:dyDescent="0.5">
      <c r="A6" s="1" t="s">
        <v>109</v>
      </c>
      <c r="B6" s="2" t="s">
        <v>110</v>
      </c>
      <c r="C6" s="2" t="s">
        <v>110</v>
      </c>
      <c r="D6" s="2" t="s">
        <v>110</v>
      </c>
      <c r="E6" s="5" t="s">
        <v>110</v>
      </c>
      <c r="F6" s="2" t="s">
        <v>110</v>
      </c>
      <c r="G6" s="2" t="s">
        <v>110</v>
      </c>
      <c r="H6" s="2" t="s">
        <v>110</v>
      </c>
      <c r="I6" s="2" t="s">
        <v>110</v>
      </c>
      <c r="J6" s="5" t="s">
        <v>110</v>
      </c>
      <c r="K6" s="2" t="s">
        <v>110</v>
      </c>
      <c r="L6" s="2" t="s">
        <v>110</v>
      </c>
      <c r="M6" s="2" t="s">
        <v>110</v>
      </c>
      <c r="N6" s="2" t="s">
        <v>110</v>
      </c>
      <c r="O6" s="2" t="s">
        <v>110</v>
      </c>
      <c r="P6" s="2" t="s">
        <v>110</v>
      </c>
      <c r="Q6" s="2" t="s">
        <v>110</v>
      </c>
      <c r="R6" s="2" t="s">
        <v>110</v>
      </c>
      <c r="S6" s="2" t="s">
        <v>110</v>
      </c>
      <c r="T6" s="2" t="s">
        <v>110</v>
      </c>
      <c r="U6" s="2" t="s">
        <v>110</v>
      </c>
    </row>
    <row r="7" spans="1:21" customFormat="1" x14ac:dyDescent="0.5">
      <c r="A7" s="1" t="s">
        <v>111</v>
      </c>
      <c r="B7" s="2">
        <v>1.1607799999999999</v>
      </c>
      <c r="C7" s="2">
        <v>6.5571999999999999</v>
      </c>
      <c r="D7" s="2">
        <v>1822.0646899999999</v>
      </c>
      <c r="E7" s="5">
        <v>552.15982199999996</v>
      </c>
      <c r="F7" s="2">
        <v>18.513300000000001</v>
      </c>
      <c r="G7" s="2">
        <v>8.1011000000000006</v>
      </c>
      <c r="H7" s="2">
        <v>13.0588</v>
      </c>
      <c r="I7" s="2">
        <v>3310.6374999999998</v>
      </c>
      <c r="J7" s="5">
        <v>3.772535</v>
      </c>
      <c r="K7" s="2">
        <v>12.7059</v>
      </c>
      <c r="L7" s="2">
        <v>0.65932299999999999</v>
      </c>
      <c r="M7" s="2">
        <v>4.3529249999999999</v>
      </c>
      <c r="N7" s="2">
        <v>71.114000000000004</v>
      </c>
      <c r="O7" s="2">
        <v>3.8569</v>
      </c>
      <c r="P7" s="2">
        <v>0.82320000000000004</v>
      </c>
      <c r="Q7" s="2">
        <v>1750.4563000000001</v>
      </c>
      <c r="R7" s="2">
        <v>0.51929999999999998</v>
      </c>
      <c r="S7" s="2">
        <v>10.81847</v>
      </c>
      <c r="T7" s="2">
        <v>12.778499999999999</v>
      </c>
      <c r="U7" s="2">
        <v>1.2803</v>
      </c>
    </row>
    <row r="8" spans="1:21" customFormat="1" x14ac:dyDescent="0.5">
      <c r="A8" s="1" t="s">
        <v>112</v>
      </c>
      <c r="B8" s="2">
        <v>1.120765</v>
      </c>
      <c r="C8" s="2">
        <v>6.3581000000000003</v>
      </c>
      <c r="D8" s="2">
        <v>1759.4665640000001</v>
      </c>
      <c r="E8" s="5">
        <v>553.04150300000003</v>
      </c>
      <c r="F8" s="2">
        <v>18.157499999999999</v>
      </c>
      <c r="G8" s="2">
        <v>7.7119999999999997</v>
      </c>
      <c r="H8" s="2">
        <v>12.724</v>
      </c>
      <c r="I8" s="2">
        <v>3235.9623999999999</v>
      </c>
      <c r="J8" s="5">
        <v>3.8106010000000001</v>
      </c>
      <c r="K8" s="2">
        <v>12.255599999999999</v>
      </c>
      <c r="L8" s="2">
        <v>0.64556100000000005</v>
      </c>
      <c r="M8" s="2">
        <v>4.2028689999999997</v>
      </c>
      <c r="N8" s="2">
        <v>71.054299999999998</v>
      </c>
      <c r="O8" s="2">
        <v>3.734</v>
      </c>
      <c r="P8" s="2">
        <v>0.79490000000000005</v>
      </c>
      <c r="Q8" s="2">
        <v>1690.1135999999999</v>
      </c>
      <c r="R8" s="2">
        <v>0.51180000000000003</v>
      </c>
      <c r="S8" s="2">
        <v>10.687614999999999</v>
      </c>
      <c r="T8" s="2">
        <v>12.367699999999999</v>
      </c>
      <c r="U8" s="2">
        <v>1.2732000000000001</v>
      </c>
    </row>
    <row r="9" spans="1:21" customFormat="1" x14ac:dyDescent="0.5">
      <c r="A9" s="1" t="s">
        <v>113</v>
      </c>
      <c r="B9" s="2">
        <v>1.0882959999999999</v>
      </c>
      <c r="C9" s="2">
        <v>6.2065999999999999</v>
      </c>
      <c r="D9" s="2">
        <v>1686.738564</v>
      </c>
      <c r="E9" s="5">
        <v>535.96385499999997</v>
      </c>
      <c r="F9" s="2">
        <v>17.555299999999999</v>
      </c>
      <c r="G9" s="2">
        <v>7.5919999999999996</v>
      </c>
      <c r="H9" s="2">
        <v>12.4697</v>
      </c>
      <c r="I9" s="2">
        <v>3160.3779</v>
      </c>
      <c r="J9" s="5">
        <v>3.678439</v>
      </c>
      <c r="K9" s="2">
        <v>12.055099999999999</v>
      </c>
      <c r="L9" s="2">
        <v>0.63012299999999999</v>
      </c>
      <c r="M9" s="2">
        <v>4.0811089999999997</v>
      </c>
      <c r="N9" s="2">
        <v>71.048299999999998</v>
      </c>
      <c r="O9" s="2">
        <v>3.6469</v>
      </c>
      <c r="P9" s="2">
        <v>0.77180000000000004</v>
      </c>
      <c r="Q9" s="2">
        <v>1641.1498999999999</v>
      </c>
      <c r="R9" s="2">
        <v>0.50170000000000003</v>
      </c>
      <c r="S9" s="2">
        <v>10.569527000000001</v>
      </c>
      <c r="T9" s="2">
        <v>12.0579</v>
      </c>
      <c r="U9" s="2">
        <v>1.27</v>
      </c>
    </row>
    <row r="10" spans="1:21" customFormat="1" x14ac:dyDescent="0.5">
      <c r="A10" s="1" t="s">
        <v>114</v>
      </c>
      <c r="B10" s="2">
        <v>1.070441</v>
      </c>
      <c r="C10" s="2">
        <v>6.1368</v>
      </c>
      <c r="D10" s="2">
        <v>1686.3297749999999</v>
      </c>
      <c r="E10" s="5">
        <v>516.30574899999999</v>
      </c>
      <c r="F10" s="2">
        <v>17.238399999999999</v>
      </c>
      <c r="G10" s="2">
        <v>7.5712000000000002</v>
      </c>
      <c r="H10" s="2">
        <v>12.3818</v>
      </c>
      <c r="I10" s="2">
        <v>3113.7629000000002</v>
      </c>
      <c r="J10" s="5">
        <v>3.5859770000000002</v>
      </c>
      <c r="K10" s="2">
        <v>11.901199999999999</v>
      </c>
      <c r="L10" s="2">
        <v>0.62834900000000005</v>
      </c>
      <c r="M10" s="2">
        <v>4.0141530000000003</v>
      </c>
      <c r="N10" s="2">
        <v>71.202500000000001</v>
      </c>
      <c r="O10" s="2">
        <v>3.5987</v>
      </c>
      <c r="P10" s="2">
        <v>0.75919999999999999</v>
      </c>
      <c r="Q10" s="2">
        <v>1614.2248999999999</v>
      </c>
      <c r="R10" s="2">
        <v>0.49730000000000002</v>
      </c>
      <c r="S10" s="2">
        <v>10.502096</v>
      </c>
      <c r="T10" s="2">
        <v>11.895099999999999</v>
      </c>
      <c r="U10" s="2">
        <v>1.2609999999999999</v>
      </c>
    </row>
    <row r="11" spans="1:21" customFormat="1" x14ac:dyDescent="0.5">
      <c r="A11" s="1" t="s">
        <v>115</v>
      </c>
      <c r="B11" s="2">
        <v>1.06281</v>
      </c>
      <c r="C11" s="2">
        <v>6.1260000000000003</v>
      </c>
      <c r="D11" s="2">
        <v>1739.6384660000001</v>
      </c>
      <c r="E11" s="5">
        <v>515.50514099999998</v>
      </c>
      <c r="F11" s="2">
        <v>17.0166</v>
      </c>
      <c r="G11" s="2">
        <v>7.7276999999999996</v>
      </c>
      <c r="H11" s="2">
        <v>12.410399999999999</v>
      </c>
      <c r="I11" s="2">
        <v>3110.5563999999999</v>
      </c>
      <c r="J11" s="5">
        <v>3.5391560000000002</v>
      </c>
      <c r="K11" s="2">
        <v>11.8599</v>
      </c>
      <c r="L11" s="2">
        <v>0.63237200000000005</v>
      </c>
      <c r="M11" s="2">
        <v>3.9855360000000002</v>
      </c>
      <c r="N11" s="2">
        <v>71.352800000000002</v>
      </c>
      <c r="O11" s="2">
        <v>3.5508999999999999</v>
      </c>
      <c r="P11" s="2">
        <v>0.75380000000000003</v>
      </c>
      <c r="Q11" s="2">
        <v>1602.7167999999999</v>
      </c>
      <c r="R11" s="2">
        <v>0.49409999999999998</v>
      </c>
      <c r="S11" s="2">
        <v>10.480365000000001</v>
      </c>
      <c r="T11" s="2">
        <v>11.7369</v>
      </c>
      <c r="U11" s="2">
        <v>1.2573000000000001</v>
      </c>
    </row>
    <row r="12" spans="1:21" customFormat="1" x14ac:dyDescent="0.5">
      <c r="A12" s="1" t="s">
        <v>116</v>
      </c>
      <c r="B12" s="2">
        <v>1.037755</v>
      </c>
      <c r="C12" s="2">
        <v>6.0076000000000001</v>
      </c>
      <c r="D12" s="2">
        <v>1757.0845220000001</v>
      </c>
      <c r="E12" s="5">
        <v>521.12921400000005</v>
      </c>
      <c r="F12" s="2">
        <v>16.5169</v>
      </c>
      <c r="G12" s="2">
        <v>7.6357999999999997</v>
      </c>
      <c r="H12" s="2">
        <v>12.2331</v>
      </c>
      <c r="I12" s="2">
        <v>3198.1001000000001</v>
      </c>
      <c r="J12" s="5">
        <v>3.4661</v>
      </c>
      <c r="K12" s="2">
        <v>11.7142</v>
      </c>
      <c r="L12" s="2">
        <v>0.62368999999999997</v>
      </c>
      <c r="M12" s="2">
        <v>3.8915799999999998</v>
      </c>
      <c r="N12" s="2">
        <v>70.702200000000005</v>
      </c>
      <c r="O12" s="2">
        <v>3.5074000000000001</v>
      </c>
      <c r="P12" s="2">
        <v>0.73599999999999999</v>
      </c>
      <c r="Q12" s="2">
        <v>1564.9338</v>
      </c>
      <c r="R12" s="2">
        <v>0.49020000000000002</v>
      </c>
      <c r="S12" s="2">
        <v>10.374432000000001</v>
      </c>
      <c r="T12" s="2">
        <v>11.5932</v>
      </c>
      <c r="U12" s="2">
        <v>1.2587999999999999</v>
      </c>
    </row>
    <row r="13" spans="1:21" customFormat="1" x14ac:dyDescent="0.5">
      <c r="A13" s="1" t="s">
        <v>117</v>
      </c>
      <c r="B13" s="2">
        <v>1.0352680000000001</v>
      </c>
      <c r="C13" s="2">
        <v>6.0335000000000001</v>
      </c>
      <c r="D13" s="2">
        <v>1879.6432480000001</v>
      </c>
      <c r="E13" s="5">
        <v>534.96447000000001</v>
      </c>
      <c r="F13" s="2">
        <v>16.439</v>
      </c>
      <c r="G13" s="2">
        <v>7.6496000000000004</v>
      </c>
      <c r="H13" s="2">
        <v>12.3124</v>
      </c>
      <c r="I13" s="2">
        <v>3423.9630999999999</v>
      </c>
      <c r="J13" s="5">
        <v>3.4474429999999998</v>
      </c>
      <c r="K13" s="2">
        <v>11.8704</v>
      </c>
      <c r="L13" s="2">
        <v>0.63151400000000002</v>
      </c>
      <c r="M13" s="2">
        <v>3.8822559999999999</v>
      </c>
      <c r="N13" s="2">
        <v>70.678799999999995</v>
      </c>
      <c r="O13" s="2">
        <v>3.6316999999999999</v>
      </c>
      <c r="P13" s="2">
        <v>0.73419999999999996</v>
      </c>
      <c r="Q13" s="2">
        <v>1561.1844000000001</v>
      </c>
      <c r="R13" s="2">
        <v>0.49719999999999998</v>
      </c>
      <c r="S13" s="2">
        <v>10.363035</v>
      </c>
      <c r="T13" s="2">
        <v>12.004</v>
      </c>
      <c r="U13" s="2">
        <v>1.2629999999999999</v>
      </c>
    </row>
    <row r="14" spans="1:21" customFormat="1" x14ac:dyDescent="0.5">
      <c r="A14" s="1" t="s">
        <v>118</v>
      </c>
      <c r="B14" s="2">
        <v>1.0603549999999999</v>
      </c>
      <c r="C14" s="2">
        <v>6.2146999999999997</v>
      </c>
      <c r="D14" s="2">
        <v>1986.828716</v>
      </c>
      <c r="E14" s="5">
        <v>543.99372400000004</v>
      </c>
      <c r="F14" s="2">
        <v>16.863900000000001</v>
      </c>
      <c r="G14" s="2">
        <v>8.1340000000000003</v>
      </c>
      <c r="H14" s="2">
        <v>12.7052</v>
      </c>
      <c r="I14" s="2">
        <v>3505.0762</v>
      </c>
      <c r="J14" s="5">
        <v>3.5627909999999998</v>
      </c>
      <c r="K14" s="2">
        <v>12.3065</v>
      </c>
      <c r="L14" s="2">
        <v>0.65211799999999998</v>
      </c>
      <c r="M14" s="2">
        <v>3.9763299999999999</v>
      </c>
      <c r="N14" s="2">
        <v>71.263300000000001</v>
      </c>
      <c r="O14" s="2">
        <v>3.5905999999999998</v>
      </c>
      <c r="P14" s="2">
        <v>0.752</v>
      </c>
      <c r="Q14" s="2">
        <v>1599.0146</v>
      </c>
      <c r="R14" s="2">
        <v>0.48949999999999999</v>
      </c>
      <c r="S14" s="2">
        <v>10.433889000000001</v>
      </c>
      <c r="T14" s="2">
        <v>11.8682</v>
      </c>
      <c r="U14" s="2">
        <v>1.2649999999999999</v>
      </c>
    </row>
    <row r="15" spans="1:21" customFormat="1" x14ac:dyDescent="0.5">
      <c r="A15" s="1" t="s">
        <v>119</v>
      </c>
      <c r="B15" s="2">
        <v>1.0500769999999999</v>
      </c>
      <c r="C15" s="2">
        <v>6.1913</v>
      </c>
      <c r="D15" s="2">
        <v>2076.6327889999998</v>
      </c>
      <c r="E15" s="5">
        <v>550.81802100000004</v>
      </c>
      <c r="F15" s="2">
        <v>16.770800000000001</v>
      </c>
      <c r="G15" s="2">
        <v>8.1728000000000005</v>
      </c>
      <c r="H15" s="2">
        <v>12.673400000000001</v>
      </c>
      <c r="I15" s="2">
        <v>3476.2808</v>
      </c>
      <c r="J15" s="5">
        <v>3.5912639999999998</v>
      </c>
      <c r="K15" s="2">
        <v>12.2933</v>
      </c>
      <c r="L15" s="2">
        <v>0.65524800000000005</v>
      </c>
      <c r="M15" s="2">
        <v>3.9377900000000001</v>
      </c>
      <c r="N15" s="2">
        <v>70.967399999999998</v>
      </c>
      <c r="O15" s="2">
        <v>3.6217999999999999</v>
      </c>
      <c r="P15" s="2">
        <v>0.74470000000000003</v>
      </c>
      <c r="Q15" s="2">
        <v>1583.1280999999999</v>
      </c>
      <c r="R15" s="2">
        <v>0.4874</v>
      </c>
      <c r="S15" s="2">
        <v>10.346411</v>
      </c>
      <c r="T15" s="2">
        <v>11.971500000000001</v>
      </c>
      <c r="U15" s="2">
        <v>1.2559</v>
      </c>
    </row>
    <row r="16" spans="1:21" customFormat="1" x14ac:dyDescent="0.5">
      <c r="A16" s="1" t="s">
        <v>120</v>
      </c>
      <c r="B16" s="2">
        <v>1.0706329999999999</v>
      </c>
      <c r="C16" s="2">
        <v>6.3489000000000004</v>
      </c>
      <c r="D16" s="2">
        <v>2118.205183</v>
      </c>
      <c r="E16" s="5">
        <v>576.85722699999997</v>
      </c>
      <c r="F16" s="2">
        <v>17.290700000000001</v>
      </c>
      <c r="G16" s="2">
        <v>8.3562999999999992</v>
      </c>
      <c r="H16" s="2">
        <v>13.0146</v>
      </c>
      <c r="I16" s="2">
        <v>3545.8303000000001</v>
      </c>
      <c r="J16" s="5">
        <v>3.7150979999999998</v>
      </c>
      <c r="K16" s="2">
        <v>12.414</v>
      </c>
      <c r="L16" s="2">
        <v>0.67342800000000003</v>
      </c>
      <c r="M16" s="2">
        <v>4.014875</v>
      </c>
      <c r="N16" s="2">
        <v>71.474400000000003</v>
      </c>
      <c r="O16" s="2">
        <v>3.5497999999999998</v>
      </c>
      <c r="P16" s="2">
        <v>0.75929999999999997</v>
      </c>
      <c r="Q16" s="2">
        <v>1613.9797000000001</v>
      </c>
      <c r="R16" s="2">
        <v>0.48020000000000002</v>
      </c>
      <c r="S16" s="2">
        <v>10.417261999999999</v>
      </c>
      <c r="T16" s="2">
        <v>11.733499999999999</v>
      </c>
      <c r="U16" s="2">
        <v>1.2633000000000001</v>
      </c>
    </row>
    <row r="17" spans="1:21" customFormat="1" x14ac:dyDescent="0.5">
      <c r="A17" s="1" t="s">
        <v>121</v>
      </c>
      <c r="B17" s="2">
        <v>1.0338229999999999</v>
      </c>
      <c r="C17" s="2">
        <v>6.1585000000000001</v>
      </c>
      <c r="D17" s="2">
        <v>2012.480689</v>
      </c>
      <c r="E17" s="5">
        <v>562.01705400000003</v>
      </c>
      <c r="F17" s="2">
        <v>16.726199999999999</v>
      </c>
      <c r="G17" s="2">
        <v>8.0287000000000006</v>
      </c>
      <c r="H17" s="2">
        <v>12.6426</v>
      </c>
      <c r="I17" s="2">
        <v>3427.6599000000001</v>
      </c>
      <c r="J17" s="5">
        <v>3.5977030000000001</v>
      </c>
      <c r="K17" s="2">
        <v>11.964399999999999</v>
      </c>
      <c r="L17" s="2">
        <v>0.65441000000000005</v>
      </c>
      <c r="M17" s="2">
        <v>3.8768349999999998</v>
      </c>
      <c r="N17" s="2">
        <v>70.491200000000006</v>
      </c>
      <c r="O17" s="2">
        <v>3.4329999999999998</v>
      </c>
      <c r="P17" s="2">
        <v>0.73319999999999996</v>
      </c>
      <c r="Q17" s="2">
        <v>1558.4878000000001</v>
      </c>
      <c r="R17" s="2">
        <v>0.46750000000000003</v>
      </c>
      <c r="S17" s="2">
        <v>10.272062999999999</v>
      </c>
      <c r="T17" s="2">
        <v>11.3339</v>
      </c>
      <c r="U17" s="2">
        <v>1.2529999999999999</v>
      </c>
    </row>
    <row r="18" spans="1:21" customFormat="1" x14ac:dyDescent="0.5">
      <c r="A18" s="1" t="s">
        <v>122</v>
      </c>
      <c r="B18" s="2">
        <v>1.0110140000000001</v>
      </c>
      <c r="C18" s="2">
        <v>6.0316999999999998</v>
      </c>
      <c r="D18" s="2">
        <v>1908.692669</v>
      </c>
      <c r="E18" s="5">
        <v>543.338931</v>
      </c>
      <c r="F18" s="2">
        <v>16.1782</v>
      </c>
      <c r="G18" s="2">
        <v>7.7584999999999997</v>
      </c>
      <c r="H18" s="2">
        <v>12.424300000000001</v>
      </c>
      <c r="I18" s="2">
        <v>3353.9364999999998</v>
      </c>
      <c r="J18" s="5">
        <v>3.528438</v>
      </c>
      <c r="K18" s="2">
        <v>11.729799999999999</v>
      </c>
      <c r="L18" s="2">
        <v>0.65008200000000005</v>
      </c>
      <c r="M18" s="2">
        <v>3.7913009999999998</v>
      </c>
      <c r="N18" s="2">
        <v>69.915599999999998</v>
      </c>
      <c r="O18" s="2">
        <v>3.4207000000000001</v>
      </c>
      <c r="P18" s="2">
        <v>0.71699999999999997</v>
      </c>
      <c r="Q18" s="2">
        <v>1524.1030000000001</v>
      </c>
      <c r="R18" s="2">
        <v>0.4642</v>
      </c>
      <c r="S18" s="2">
        <v>10.155632000000001</v>
      </c>
      <c r="T18" s="2">
        <v>11.2766</v>
      </c>
      <c r="U18" s="2">
        <v>1.2678</v>
      </c>
    </row>
    <row r="19" spans="1:21" customFormat="1" x14ac:dyDescent="0.5">
      <c r="A19" s="1" t="s">
        <v>123</v>
      </c>
      <c r="B19" s="2">
        <v>1.013695</v>
      </c>
      <c r="C19" s="2">
        <v>6.0892999999999997</v>
      </c>
      <c r="D19" s="2">
        <v>1952.001966</v>
      </c>
      <c r="E19" s="5">
        <v>527.57769900000005</v>
      </c>
      <c r="F19" s="2">
        <v>16.382300000000001</v>
      </c>
      <c r="G19" s="2">
        <v>7.9909999999999997</v>
      </c>
      <c r="H19" s="2">
        <v>12.5191</v>
      </c>
      <c r="I19" s="2">
        <v>3377.6325999999999</v>
      </c>
      <c r="J19" s="5">
        <v>3.5499610000000001</v>
      </c>
      <c r="K19" s="2">
        <v>11.8156</v>
      </c>
      <c r="L19" s="2">
        <v>0.65991599999999995</v>
      </c>
      <c r="M19" s="2">
        <v>3.8013569999999999</v>
      </c>
      <c r="N19" s="2">
        <v>69.991600000000005</v>
      </c>
      <c r="O19" s="2">
        <v>3.3338000000000001</v>
      </c>
      <c r="P19" s="2">
        <v>0.71889999999999998</v>
      </c>
      <c r="Q19" s="2">
        <v>1528.1456000000001</v>
      </c>
      <c r="R19" s="2">
        <v>0.45900000000000002</v>
      </c>
      <c r="S19" s="2">
        <v>10.188651</v>
      </c>
      <c r="T19" s="2">
        <v>10.990399999999999</v>
      </c>
      <c r="U19" s="2">
        <v>1.2630999999999999</v>
      </c>
    </row>
    <row r="20" spans="1:21" customFormat="1" x14ac:dyDescent="0.5">
      <c r="A20" s="1" t="s">
        <v>124</v>
      </c>
      <c r="B20" s="2">
        <v>0.98342399999999996</v>
      </c>
      <c r="C20" s="2">
        <v>5.9389000000000003</v>
      </c>
      <c r="D20" s="2">
        <v>1918.305834</v>
      </c>
      <c r="E20" s="5">
        <v>504.34887700000002</v>
      </c>
      <c r="F20" s="2">
        <v>16.047499999999999</v>
      </c>
      <c r="G20" s="2">
        <v>7.6619000000000002</v>
      </c>
      <c r="H20" s="2">
        <v>12.2033</v>
      </c>
      <c r="I20" s="2">
        <v>3412.9724000000001</v>
      </c>
      <c r="J20" s="5">
        <v>3.4006789999999998</v>
      </c>
      <c r="K20" s="2">
        <v>11.5267</v>
      </c>
      <c r="L20" s="2">
        <v>0.64709300000000003</v>
      </c>
      <c r="M20" s="2">
        <v>3.6878389999999999</v>
      </c>
      <c r="N20" s="2">
        <v>69.968599999999995</v>
      </c>
      <c r="O20" s="2">
        <v>3.3125</v>
      </c>
      <c r="P20" s="2">
        <v>0.69750000000000001</v>
      </c>
      <c r="Q20" s="2">
        <v>1482.5114000000001</v>
      </c>
      <c r="R20" s="2">
        <v>0.45989999999999998</v>
      </c>
      <c r="S20" s="2">
        <v>10.083043999999999</v>
      </c>
      <c r="T20" s="2">
        <v>10.904</v>
      </c>
      <c r="U20" s="2">
        <v>1.2606999999999999</v>
      </c>
    </row>
    <row r="21" spans="1:21" customFormat="1" x14ac:dyDescent="0.5">
      <c r="A21" s="1" t="s">
        <v>125</v>
      </c>
      <c r="B21" s="2">
        <v>0.96434299999999995</v>
      </c>
      <c r="C21" s="2">
        <v>5.8574000000000002</v>
      </c>
      <c r="D21" s="2">
        <v>1886.361907</v>
      </c>
      <c r="E21" s="5">
        <v>487.51420999999999</v>
      </c>
      <c r="F21" s="2">
        <v>15.661899999999999</v>
      </c>
      <c r="G21" s="2">
        <v>7.4476000000000004</v>
      </c>
      <c r="H21" s="2">
        <v>12.023400000000001</v>
      </c>
      <c r="I21" s="2">
        <v>3360.4477999999999</v>
      </c>
      <c r="J21" s="5">
        <v>3.3221630000000002</v>
      </c>
      <c r="K21" s="2">
        <v>11.404299999999999</v>
      </c>
      <c r="L21" s="2">
        <v>0.64225299999999996</v>
      </c>
      <c r="M21" s="2">
        <v>3.6162879999999999</v>
      </c>
      <c r="N21" s="2">
        <v>70.1434</v>
      </c>
      <c r="O21" s="2">
        <v>3.2604000000000002</v>
      </c>
      <c r="P21" s="2">
        <v>0.68389999999999995</v>
      </c>
      <c r="Q21" s="2">
        <v>1453.7478000000001</v>
      </c>
      <c r="R21" s="2">
        <v>0.46939999999999998</v>
      </c>
      <c r="S21" s="2">
        <v>9.9799910000000001</v>
      </c>
      <c r="T21" s="2">
        <v>10.7232</v>
      </c>
      <c r="U21" s="2">
        <v>1.2594000000000001</v>
      </c>
    </row>
    <row r="22" spans="1:21" customFormat="1" x14ac:dyDescent="0.5">
      <c r="A22" s="1" t="s">
        <v>126</v>
      </c>
      <c r="B22" s="2">
        <v>0.94694999999999996</v>
      </c>
      <c r="C22" s="2">
        <v>5.7820999999999998</v>
      </c>
      <c r="D22" s="2">
        <v>1882.252469</v>
      </c>
      <c r="E22" s="5">
        <v>481.14530100000002</v>
      </c>
      <c r="F22" s="2">
        <v>15.4239</v>
      </c>
      <c r="G22" s="2">
        <v>7.3037999999999998</v>
      </c>
      <c r="H22" s="2">
        <v>11.8643</v>
      </c>
      <c r="I22" s="2">
        <v>3307.7910000000002</v>
      </c>
      <c r="J22" s="5">
        <v>3.2963330000000002</v>
      </c>
      <c r="K22" s="2">
        <v>11.2431</v>
      </c>
      <c r="L22" s="2">
        <v>0.63540300000000005</v>
      </c>
      <c r="M22" s="2">
        <v>3.5510630000000001</v>
      </c>
      <c r="N22" s="2">
        <v>70.254199999999997</v>
      </c>
      <c r="O22" s="2">
        <v>3.1025</v>
      </c>
      <c r="P22" s="2">
        <v>0.67159999999999997</v>
      </c>
      <c r="Q22" s="2">
        <v>1427.5271</v>
      </c>
      <c r="R22" s="2">
        <v>0.45579999999999998</v>
      </c>
      <c r="S22" s="2">
        <v>9.8927870000000002</v>
      </c>
      <c r="T22" s="2">
        <v>10.197900000000001</v>
      </c>
      <c r="U22" s="2">
        <v>1.2585</v>
      </c>
    </row>
    <row r="23" spans="1:21" customFormat="1" x14ac:dyDescent="0.5">
      <c r="A23" s="1" t="s">
        <v>127</v>
      </c>
      <c r="B23" s="2">
        <v>0.905968</v>
      </c>
      <c r="C23" s="2">
        <v>5.5608000000000004</v>
      </c>
      <c r="D23" s="2">
        <v>1861.9276259999999</v>
      </c>
      <c r="E23" s="5">
        <v>472.60733699999997</v>
      </c>
      <c r="F23" s="2">
        <v>14.7338</v>
      </c>
      <c r="G23" s="2">
        <v>6.9768999999999997</v>
      </c>
      <c r="H23" s="2">
        <v>11.4061</v>
      </c>
      <c r="I23" s="2">
        <v>3166.0868999999998</v>
      </c>
      <c r="J23" s="5">
        <v>3.1754190000000002</v>
      </c>
      <c r="K23" s="2">
        <v>10.8254</v>
      </c>
      <c r="L23" s="2">
        <v>0.61515200000000003</v>
      </c>
      <c r="M23" s="2">
        <v>3.3973810000000002</v>
      </c>
      <c r="N23" s="2">
        <v>69.182400000000001</v>
      </c>
      <c r="O23" s="2">
        <v>3.1825999999999999</v>
      </c>
      <c r="P23" s="2">
        <v>0.64249999999999996</v>
      </c>
      <c r="Q23" s="2">
        <v>1365.7471</v>
      </c>
      <c r="R23" s="2">
        <v>0.46650000000000003</v>
      </c>
      <c r="S23" s="2">
        <v>9.7183209999999995</v>
      </c>
      <c r="T23" s="2">
        <v>10.442600000000001</v>
      </c>
      <c r="U23" s="2">
        <v>1.2638</v>
      </c>
    </row>
    <row r="24" spans="1:21" customFormat="1" x14ac:dyDescent="0.5">
      <c r="A24" s="1" t="s">
        <v>128</v>
      </c>
      <c r="B24" s="2">
        <v>0.94917700000000005</v>
      </c>
      <c r="C24" s="2">
        <v>5.8536000000000001</v>
      </c>
      <c r="D24" s="2">
        <v>2012.739908</v>
      </c>
      <c r="E24" s="5">
        <v>502.817159</v>
      </c>
      <c r="F24" s="2">
        <v>15.538</v>
      </c>
      <c r="G24" s="2">
        <v>7.3380999999999998</v>
      </c>
      <c r="H24" s="2">
        <v>12.007999999999999</v>
      </c>
      <c r="I24" s="2">
        <v>3322.0254</v>
      </c>
      <c r="J24" s="5">
        <v>3.31168</v>
      </c>
      <c r="K24" s="2">
        <v>11.443300000000001</v>
      </c>
      <c r="L24" s="2">
        <v>0.64544100000000004</v>
      </c>
      <c r="M24" s="2">
        <v>3.559415</v>
      </c>
      <c r="N24" s="2">
        <v>70.415700000000001</v>
      </c>
      <c r="O24" s="2">
        <v>3.2930000000000001</v>
      </c>
      <c r="P24" s="2">
        <v>0.67320000000000002</v>
      </c>
      <c r="Q24" s="2">
        <v>1430.8848</v>
      </c>
      <c r="R24" s="2">
        <v>0.47310000000000002</v>
      </c>
      <c r="S24" s="2">
        <v>9.9160550000000001</v>
      </c>
      <c r="T24" s="2">
        <v>10.726599999999999</v>
      </c>
      <c r="U24" s="2">
        <v>1.2785</v>
      </c>
    </row>
    <row r="25" spans="1:21" customFormat="1" x14ac:dyDescent="0.5">
      <c r="A25" s="1" t="s">
        <v>129</v>
      </c>
      <c r="B25" s="2">
        <v>0.93965699999999996</v>
      </c>
      <c r="C25" s="2">
        <v>5.8231000000000002</v>
      </c>
      <c r="D25" s="2">
        <v>2030.843406</v>
      </c>
      <c r="E25" s="5">
        <v>509.99891400000001</v>
      </c>
      <c r="F25" s="2">
        <v>15.4931</v>
      </c>
      <c r="G25" s="2">
        <v>7.2823000000000002</v>
      </c>
      <c r="H25" s="2">
        <v>11.9459</v>
      </c>
      <c r="I25" s="2">
        <v>3290.7734</v>
      </c>
      <c r="J25" s="5">
        <v>3.2718859999999999</v>
      </c>
      <c r="K25" s="2">
        <v>11.446</v>
      </c>
      <c r="L25" s="2">
        <v>0.64272600000000002</v>
      </c>
      <c r="M25" s="2">
        <v>3.523714</v>
      </c>
      <c r="N25" s="2">
        <v>70.130399999999995</v>
      </c>
      <c r="O25" s="2">
        <v>3.1989999999999998</v>
      </c>
      <c r="P25" s="2">
        <v>0.66639999999999999</v>
      </c>
      <c r="Q25" s="2">
        <v>1416.5332000000001</v>
      </c>
      <c r="R25" s="2">
        <v>0.46589999999999998</v>
      </c>
      <c r="S25" s="2">
        <v>9.8823740000000004</v>
      </c>
      <c r="T25" s="2">
        <v>10.375299999999999</v>
      </c>
      <c r="U25" s="2">
        <v>1.2732000000000001</v>
      </c>
    </row>
    <row r="26" spans="1:21" customFormat="1" x14ac:dyDescent="0.5">
      <c r="A26" s="1" t="s">
        <v>130</v>
      </c>
      <c r="B26" s="2">
        <v>0.904057</v>
      </c>
      <c r="C26" s="2">
        <v>5.6304999999999996</v>
      </c>
      <c r="D26" s="2">
        <v>1977.50622</v>
      </c>
      <c r="E26" s="5">
        <v>498.12609400000002</v>
      </c>
      <c r="F26" s="2">
        <v>14.890700000000001</v>
      </c>
      <c r="G26" s="2">
        <v>7.0045999999999999</v>
      </c>
      <c r="H26" s="2">
        <v>11.5502</v>
      </c>
      <c r="I26" s="2">
        <v>3164.1073999999999</v>
      </c>
      <c r="J26" s="5">
        <v>3.145213</v>
      </c>
      <c r="K26" s="2">
        <v>11.157</v>
      </c>
      <c r="L26" s="2">
        <v>0.62199099999999996</v>
      </c>
      <c r="M26" s="2">
        <v>3.390212</v>
      </c>
      <c r="N26" s="2">
        <v>69.135000000000005</v>
      </c>
      <c r="O26" s="2">
        <v>3.1002000000000001</v>
      </c>
      <c r="P26" s="2">
        <v>0.64119999999999999</v>
      </c>
      <c r="Q26" s="2">
        <v>1362.8652</v>
      </c>
      <c r="R26" s="2">
        <v>0.48060000000000003</v>
      </c>
      <c r="S26" s="2">
        <v>9.7122790000000006</v>
      </c>
      <c r="T26" s="2">
        <v>9.9969999999999999</v>
      </c>
      <c r="U26" s="2">
        <v>1.2621</v>
      </c>
    </row>
    <row r="27" spans="1:21" customFormat="1" x14ac:dyDescent="0.5">
      <c r="A27" s="1" t="s">
        <v>131</v>
      </c>
      <c r="B27" s="2">
        <v>0.87211399999999994</v>
      </c>
      <c r="C27" s="2">
        <v>5.4603000000000002</v>
      </c>
      <c r="D27" s="2">
        <v>1930.65173</v>
      </c>
      <c r="E27" s="5">
        <v>493.52949599999999</v>
      </c>
      <c r="F27" s="2">
        <v>14.4169</v>
      </c>
      <c r="G27" s="2">
        <v>6.8025000000000002</v>
      </c>
      <c r="H27" s="2">
        <v>11.196199999999999</v>
      </c>
      <c r="I27" s="2">
        <v>3042.1963000000001</v>
      </c>
      <c r="J27" s="5">
        <v>3.0401899999999999</v>
      </c>
      <c r="K27" s="2">
        <v>10.7811</v>
      </c>
      <c r="L27" s="2">
        <v>0.60088699999999995</v>
      </c>
      <c r="M27" s="2">
        <v>3.270429</v>
      </c>
      <c r="N27" s="2">
        <v>68.441800000000001</v>
      </c>
      <c r="O27" s="2">
        <v>3.0686</v>
      </c>
      <c r="P27" s="2">
        <v>0.61850000000000005</v>
      </c>
      <c r="Q27" s="2">
        <v>1314.7122999999999</v>
      </c>
      <c r="R27" s="2">
        <v>0.4753</v>
      </c>
      <c r="S27" s="2">
        <v>9.5609889999999993</v>
      </c>
      <c r="T27" s="2">
        <v>9.8386999999999993</v>
      </c>
      <c r="U27" s="2">
        <v>1.2541</v>
      </c>
    </row>
    <row r="28" spans="1:21" customFormat="1" x14ac:dyDescent="0.5">
      <c r="A28" s="1" t="s">
        <v>132</v>
      </c>
      <c r="B28" s="2">
        <v>0.855159</v>
      </c>
      <c r="C28" s="2">
        <v>5.3807</v>
      </c>
      <c r="D28" s="2">
        <v>1861.5103509999999</v>
      </c>
      <c r="E28" s="5">
        <v>485.59356100000002</v>
      </c>
      <c r="F28" s="2">
        <v>14.1623</v>
      </c>
      <c r="G28" s="2">
        <v>6.6856</v>
      </c>
      <c r="H28" s="2">
        <v>11.031599999999999</v>
      </c>
      <c r="I28" s="2">
        <v>3004.0798</v>
      </c>
      <c r="J28" s="5">
        <v>2.994767</v>
      </c>
      <c r="K28" s="2">
        <v>10.5886</v>
      </c>
      <c r="L28" s="2">
        <v>0.59177000000000002</v>
      </c>
      <c r="M28" s="2">
        <v>3.2068469999999998</v>
      </c>
      <c r="N28" s="2">
        <v>67.909899999999993</v>
      </c>
      <c r="O28" s="2">
        <v>2.972</v>
      </c>
      <c r="P28" s="2">
        <v>0.60650000000000004</v>
      </c>
      <c r="Q28" s="2">
        <v>1289.1523</v>
      </c>
      <c r="R28" s="2">
        <v>0.4632</v>
      </c>
      <c r="S28" s="2">
        <v>9.4743080000000006</v>
      </c>
      <c r="T28" s="2">
        <v>9.4481000000000002</v>
      </c>
      <c r="U28" s="2">
        <v>1.2502</v>
      </c>
    </row>
    <row r="29" spans="1:21" customFormat="1" x14ac:dyDescent="0.5">
      <c r="A29" s="1" t="s">
        <v>133</v>
      </c>
      <c r="B29" s="2">
        <v>0.85638599999999998</v>
      </c>
      <c r="C29" s="2">
        <v>5.4175000000000004</v>
      </c>
      <c r="D29" s="2">
        <v>1829.489658</v>
      </c>
      <c r="E29" s="5">
        <v>492.07958400000001</v>
      </c>
      <c r="F29" s="2">
        <v>14.2349</v>
      </c>
      <c r="G29" s="2">
        <v>6.6540999999999997</v>
      </c>
      <c r="H29" s="2">
        <v>11.1013</v>
      </c>
      <c r="I29" s="2">
        <v>3019.8325</v>
      </c>
      <c r="J29" s="5">
        <v>3.0230440000000001</v>
      </c>
      <c r="K29" s="2">
        <v>10.6218</v>
      </c>
      <c r="L29" s="2">
        <v>0.59518899999999997</v>
      </c>
      <c r="M29" s="2">
        <v>3.211449</v>
      </c>
      <c r="N29" s="2">
        <v>68.069000000000003</v>
      </c>
      <c r="O29" s="2">
        <v>3.2044000000000001</v>
      </c>
      <c r="P29" s="2">
        <v>0.60740000000000005</v>
      </c>
      <c r="Q29" s="2">
        <v>1291.0024000000001</v>
      </c>
      <c r="R29" s="2">
        <v>0.47689999999999999</v>
      </c>
      <c r="S29" s="2">
        <v>9.4990380000000005</v>
      </c>
      <c r="T29" s="2">
        <v>9.7477999999999998</v>
      </c>
      <c r="U29" s="2">
        <v>1.2563</v>
      </c>
    </row>
    <row r="30" spans="1:21" customFormat="1" x14ac:dyDescent="0.5">
      <c r="A30" s="1" t="s">
        <v>134</v>
      </c>
      <c r="B30" s="2">
        <v>0.897316</v>
      </c>
      <c r="C30" s="2">
        <v>5.7149999999999999</v>
      </c>
      <c r="D30" s="2">
        <v>1959.387827</v>
      </c>
      <c r="E30" s="5">
        <v>515.62457600000005</v>
      </c>
      <c r="F30" s="2">
        <v>14.9565</v>
      </c>
      <c r="G30" s="2">
        <v>6.9363000000000001</v>
      </c>
      <c r="H30" s="2">
        <v>11.6884</v>
      </c>
      <c r="I30" s="2">
        <v>3169.2294999999999</v>
      </c>
      <c r="J30" s="5">
        <v>3.159449</v>
      </c>
      <c r="K30" s="2">
        <v>11.1671</v>
      </c>
      <c r="L30" s="2">
        <v>0.62632600000000005</v>
      </c>
      <c r="M30" s="2">
        <v>3.3649339999999999</v>
      </c>
      <c r="N30" s="2">
        <v>69.064599999999999</v>
      </c>
      <c r="O30" s="2">
        <v>3.4335</v>
      </c>
      <c r="P30" s="2">
        <v>0.63639999999999997</v>
      </c>
      <c r="Q30" s="2">
        <v>1352.7036000000001</v>
      </c>
      <c r="R30" s="2">
        <v>0.50270000000000004</v>
      </c>
      <c r="S30" s="2">
        <v>9.7286979999999996</v>
      </c>
      <c r="T30" s="2">
        <v>10.444900000000001</v>
      </c>
      <c r="U30" s="2">
        <v>1.2805</v>
      </c>
    </row>
    <row r="31" spans="1:21" customFormat="1" x14ac:dyDescent="0.5">
      <c r="A31" s="1" t="s">
        <v>135</v>
      </c>
      <c r="B31" s="2">
        <v>0.93828199999999995</v>
      </c>
      <c r="C31" s="2">
        <v>6.0115999999999996</v>
      </c>
      <c r="D31" s="2">
        <v>2103.092952</v>
      </c>
      <c r="E31" s="5">
        <v>535.87150699999995</v>
      </c>
      <c r="F31" s="2">
        <v>15.845700000000001</v>
      </c>
      <c r="G31" s="2">
        <v>7.3205</v>
      </c>
      <c r="H31" s="2">
        <v>12.282999999999999</v>
      </c>
      <c r="I31" s="2">
        <v>3349.6660000000002</v>
      </c>
      <c r="J31" s="5">
        <v>3.3055669999999999</v>
      </c>
      <c r="K31" s="2">
        <v>11.7858</v>
      </c>
      <c r="L31" s="2">
        <v>0.65585899999999997</v>
      </c>
      <c r="M31" s="2">
        <v>3.5185569999999999</v>
      </c>
      <c r="N31" s="2">
        <v>70.195700000000002</v>
      </c>
      <c r="O31" s="2">
        <v>3.5684999999999998</v>
      </c>
      <c r="P31" s="2">
        <v>0.66539999999999999</v>
      </c>
      <c r="Q31" s="2">
        <v>1414.4598000000001</v>
      </c>
      <c r="R31" s="2">
        <v>0.50419999999999998</v>
      </c>
      <c r="S31" s="2">
        <v>9.9364039999999996</v>
      </c>
      <c r="T31" s="2">
        <v>10.4314</v>
      </c>
      <c r="U31" s="2">
        <v>1.2901</v>
      </c>
    </row>
    <row r="32" spans="1:21" customFormat="1" x14ac:dyDescent="0.5">
      <c r="A32" s="1" t="s">
        <v>136</v>
      </c>
      <c r="B32" s="2">
        <v>0.921705</v>
      </c>
      <c r="C32" s="2">
        <v>5.9275000000000002</v>
      </c>
      <c r="D32" s="2">
        <v>2067.098532</v>
      </c>
      <c r="E32" s="5">
        <v>519.03974100000005</v>
      </c>
      <c r="F32" s="2">
        <v>15.699400000000001</v>
      </c>
      <c r="G32" s="2">
        <v>7.1311999999999998</v>
      </c>
      <c r="H32" s="2">
        <v>12.123200000000001</v>
      </c>
      <c r="I32" s="2">
        <v>3404.5940000000001</v>
      </c>
      <c r="J32" s="5">
        <v>3.253619</v>
      </c>
      <c r="K32" s="2">
        <v>11.6015</v>
      </c>
      <c r="L32" s="2">
        <v>0.64703699999999997</v>
      </c>
      <c r="M32" s="2">
        <v>3.456394</v>
      </c>
      <c r="N32" s="2">
        <v>69.814499999999995</v>
      </c>
      <c r="O32" s="2">
        <v>3.5512000000000001</v>
      </c>
      <c r="P32" s="2">
        <v>0.65369999999999995</v>
      </c>
      <c r="Q32" s="2">
        <v>1389.4703</v>
      </c>
      <c r="R32" s="2">
        <v>0.50370000000000004</v>
      </c>
      <c r="S32" s="2">
        <v>9.8567129999999992</v>
      </c>
      <c r="T32" s="2">
        <v>10.3809</v>
      </c>
      <c r="U32" s="2">
        <v>1.2802</v>
      </c>
    </row>
    <row r="33" spans="1:21" customFormat="1" x14ac:dyDescent="0.5">
      <c r="A33" s="1" t="s">
        <v>137</v>
      </c>
      <c r="B33" s="2">
        <v>0.90952299999999997</v>
      </c>
      <c r="C33" s="2">
        <v>5.8810000000000002</v>
      </c>
      <c r="D33" s="2">
        <v>2071.929189</v>
      </c>
      <c r="E33" s="5">
        <v>534.60834399999999</v>
      </c>
      <c r="F33" s="2">
        <v>15.3818</v>
      </c>
      <c r="G33" s="2">
        <v>7.0023999999999997</v>
      </c>
      <c r="H33" s="2">
        <v>12.019299999999999</v>
      </c>
      <c r="I33" s="2">
        <v>3412.8930999999998</v>
      </c>
      <c r="J33" s="5">
        <v>3.2015199999999999</v>
      </c>
      <c r="K33" s="2">
        <v>11.6319</v>
      </c>
      <c r="L33" s="2">
        <v>0.64121399999999995</v>
      </c>
      <c r="M33" s="2">
        <v>3.4107099999999999</v>
      </c>
      <c r="N33" s="2">
        <v>69.536699999999996</v>
      </c>
      <c r="O33" s="2">
        <v>3.3915000000000002</v>
      </c>
      <c r="P33" s="2">
        <v>0.64510000000000001</v>
      </c>
      <c r="Q33" s="2">
        <v>1371.1054999999999</v>
      </c>
      <c r="R33" s="2">
        <v>0.49309999999999998</v>
      </c>
      <c r="S33" s="2">
        <v>9.8310309999999994</v>
      </c>
      <c r="T33" s="2">
        <v>9.9138999999999999</v>
      </c>
      <c r="U33" s="2">
        <v>1.2797000000000001</v>
      </c>
    </row>
    <row r="34" spans="1:21" customFormat="1" x14ac:dyDescent="0.5">
      <c r="A34" s="1" t="s">
        <v>138</v>
      </c>
      <c r="B34" s="2">
        <v>0.89200000000000002</v>
      </c>
      <c r="C34" s="2">
        <v>5.798</v>
      </c>
      <c r="D34" s="2">
        <v>2072.2052870000002</v>
      </c>
      <c r="E34" s="5">
        <v>533.97796400000004</v>
      </c>
      <c r="F34" s="2">
        <v>15.0373</v>
      </c>
      <c r="G34" s="2">
        <v>6.9112</v>
      </c>
      <c r="H34" s="2">
        <v>11.844900000000001</v>
      </c>
      <c r="I34" s="2">
        <v>3378.3606</v>
      </c>
      <c r="J34" s="5">
        <v>3.1746279999999998</v>
      </c>
      <c r="K34" s="2">
        <v>11.509499999999999</v>
      </c>
      <c r="L34" s="2">
        <v>0.63242799999999999</v>
      </c>
      <c r="M34" s="2">
        <v>3.3450000000000002</v>
      </c>
      <c r="N34" s="2">
        <v>69.020300000000006</v>
      </c>
      <c r="O34" s="2">
        <v>3.4083999999999999</v>
      </c>
      <c r="P34" s="2">
        <v>0.63260000000000005</v>
      </c>
      <c r="Q34" s="2">
        <v>1344.6899000000001</v>
      </c>
      <c r="R34" s="2">
        <v>0.49370000000000003</v>
      </c>
      <c r="S34" s="2">
        <v>9.8476800000000004</v>
      </c>
      <c r="T34" s="2">
        <v>9.9633000000000003</v>
      </c>
      <c r="U34" s="2">
        <v>1.2746999999999999</v>
      </c>
    </row>
    <row r="35" spans="1:21" customFormat="1" x14ac:dyDescent="0.5">
      <c r="A35" s="1" t="s">
        <v>139</v>
      </c>
      <c r="B35" s="2">
        <v>0.87416400000000005</v>
      </c>
      <c r="C35" s="2">
        <v>5.7065000000000001</v>
      </c>
      <c r="D35" s="2">
        <v>2049.5203959999999</v>
      </c>
      <c r="E35" s="5">
        <v>528.41441799999996</v>
      </c>
      <c r="F35" s="2">
        <v>14.7148</v>
      </c>
      <c r="G35" s="2">
        <v>6.7914000000000003</v>
      </c>
      <c r="H35" s="2">
        <v>11.6648</v>
      </c>
      <c r="I35" s="2">
        <v>3340.9657999999999</v>
      </c>
      <c r="J35" s="5">
        <v>3.146989</v>
      </c>
      <c r="K35" s="2">
        <v>11.4183</v>
      </c>
      <c r="L35" s="2">
        <v>0.62415299999999996</v>
      </c>
      <c r="M35" s="2">
        <v>3.278114</v>
      </c>
      <c r="N35" s="2">
        <v>68.480199999999996</v>
      </c>
      <c r="O35" s="2">
        <v>3.2648000000000001</v>
      </c>
      <c r="P35" s="2">
        <v>0.62</v>
      </c>
      <c r="Q35" s="2">
        <v>1317.8016</v>
      </c>
      <c r="R35" s="2">
        <v>0.47610000000000002</v>
      </c>
      <c r="S35" s="2">
        <v>10.197993</v>
      </c>
      <c r="T35" s="2">
        <v>9.5188000000000006</v>
      </c>
      <c r="U35" s="2">
        <v>1.2737000000000001</v>
      </c>
    </row>
    <row r="36" spans="1:21" customFormat="1" x14ac:dyDescent="0.5">
      <c r="A36" s="1" t="s">
        <v>140</v>
      </c>
      <c r="B36" s="2">
        <v>0.85316700000000001</v>
      </c>
      <c r="C36" s="2">
        <v>5.6062000000000003</v>
      </c>
      <c r="D36" s="2">
        <v>1966.822238</v>
      </c>
      <c r="E36" s="5">
        <v>525.61039500000004</v>
      </c>
      <c r="F36" s="2">
        <v>14.363099999999999</v>
      </c>
      <c r="G36" s="2">
        <v>6.6529999999999996</v>
      </c>
      <c r="H36" s="2">
        <v>11.440099999999999</v>
      </c>
      <c r="I36" s="2">
        <v>3334.6017999999999</v>
      </c>
      <c r="J36" s="5">
        <v>3.0125310000000001</v>
      </c>
      <c r="K36" s="2">
        <v>11.4017</v>
      </c>
      <c r="L36" s="2">
        <v>0.61086700000000005</v>
      </c>
      <c r="M36" s="2">
        <v>3.1993749999999999</v>
      </c>
      <c r="N36" s="2">
        <v>67.546899999999994</v>
      </c>
      <c r="O36" s="2">
        <v>3.2648000000000001</v>
      </c>
      <c r="P36" s="2">
        <v>0.60509999999999997</v>
      </c>
      <c r="Q36" s="2">
        <v>1286.1487999999999</v>
      </c>
      <c r="R36" s="2">
        <v>0.55610000000000004</v>
      </c>
      <c r="S36" s="2">
        <v>10.136473000000001</v>
      </c>
      <c r="T36" s="2">
        <v>9.5188000000000006</v>
      </c>
      <c r="U36" s="2">
        <v>1.2746</v>
      </c>
    </row>
    <row r="37" spans="1:21" customFormat="1" x14ac:dyDescent="0.5">
      <c r="A37" s="1" t="s">
        <v>141</v>
      </c>
      <c r="B37" s="2">
        <v>0.86066399999999998</v>
      </c>
      <c r="C37" s="2">
        <v>5.7001999999999997</v>
      </c>
      <c r="D37" s="2">
        <v>1982.9862479999999</v>
      </c>
      <c r="E37" s="5">
        <v>564.99126999999999</v>
      </c>
      <c r="F37" s="2">
        <v>14.4901</v>
      </c>
      <c r="G37" s="2">
        <v>6.7122999999999999</v>
      </c>
      <c r="H37" s="2">
        <v>11.222200000000001</v>
      </c>
      <c r="I37" s="2">
        <v>3595.7665999999999</v>
      </c>
      <c r="J37" s="5">
        <v>3.0149050000000002</v>
      </c>
      <c r="K37" s="2">
        <v>11.709300000000001</v>
      </c>
      <c r="L37" s="2">
        <v>0.62053800000000003</v>
      </c>
      <c r="M37" s="2">
        <v>3.2274889999999998</v>
      </c>
      <c r="N37" s="2">
        <v>68.3005</v>
      </c>
      <c r="O37" s="2">
        <v>3.3706999999999998</v>
      </c>
      <c r="P37" s="2">
        <v>0.61040000000000005</v>
      </c>
      <c r="Q37" s="2">
        <v>1297.4503999999999</v>
      </c>
      <c r="R37" s="2">
        <v>0.56810000000000005</v>
      </c>
      <c r="S37" s="2">
        <v>10.167020000000001</v>
      </c>
      <c r="T37" s="2">
        <v>9.8275000000000006</v>
      </c>
      <c r="U37" s="2">
        <v>1.2781</v>
      </c>
    </row>
    <row r="38" spans="1:21" customFormat="1" x14ac:dyDescent="0.5">
      <c r="A38" s="1" t="s">
        <v>142</v>
      </c>
      <c r="B38" s="2">
        <v>0.90048300000000003</v>
      </c>
      <c r="C38" s="2">
        <v>6.0106999999999999</v>
      </c>
      <c r="D38" s="2">
        <v>2060.9074620000001</v>
      </c>
      <c r="E38" s="5">
        <v>606.65514399999995</v>
      </c>
      <c r="F38" s="2">
        <v>15.165900000000001</v>
      </c>
      <c r="G38" s="2">
        <v>7.0688000000000004</v>
      </c>
      <c r="H38" s="2">
        <v>11.799899999999999</v>
      </c>
      <c r="I38" s="2">
        <v>3856.2266</v>
      </c>
      <c r="J38" s="5">
        <v>3.1435849999999999</v>
      </c>
      <c r="K38" s="2">
        <v>12.0557</v>
      </c>
      <c r="L38" s="2">
        <v>0.65735200000000005</v>
      </c>
      <c r="M38" s="2">
        <v>3.3768099999999999</v>
      </c>
      <c r="N38" s="2">
        <v>69.302000000000007</v>
      </c>
      <c r="O38" s="2">
        <v>3.5625</v>
      </c>
      <c r="P38" s="2">
        <v>0.63859999999999995</v>
      </c>
      <c r="Q38" s="2">
        <v>1357.4775</v>
      </c>
      <c r="R38" s="2">
        <v>0.58069999999999999</v>
      </c>
      <c r="S38" s="2">
        <v>10.287113</v>
      </c>
      <c r="T38" s="2">
        <v>10.2799</v>
      </c>
      <c r="U38" s="2">
        <v>1.2958000000000001</v>
      </c>
    </row>
    <row r="39" spans="1:21" customFormat="1" x14ac:dyDescent="0.5">
      <c r="A39" s="1" t="s">
        <v>143</v>
      </c>
      <c r="B39" s="2">
        <v>0.91109499999999999</v>
      </c>
      <c r="C39" s="2">
        <v>6.1153000000000004</v>
      </c>
      <c r="D39" s="2">
        <v>2121.5394270000002</v>
      </c>
      <c r="E39" s="5">
        <v>620.67434900000001</v>
      </c>
      <c r="F39" s="2">
        <v>15.524100000000001</v>
      </c>
      <c r="G39" s="2">
        <v>7.2458999999999998</v>
      </c>
      <c r="H39" s="2">
        <v>12.3973</v>
      </c>
      <c r="I39" s="2">
        <v>4014.0115000000001</v>
      </c>
      <c r="J39" s="5">
        <v>3.1797219999999999</v>
      </c>
      <c r="K39" s="2">
        <v>12.375400000000001</v>
      </c>
      <c r="L39" s="2">
        <v>0.67603199999999997</v>
      </c>
      <c r="M39" s="2">
        <v>3.4166059999999998</v>
      </c>
      <c r="N39" s="2">
        <v>69.657799999999995</v>
      </c>
      <c r="O39" s="2">
        <v>3.7801999999999998</v>
      </c>
      <c r="P39" s="2">
        <v>0.6462</v>
      </c>
      <c r="Q39" s="2">
        <v>1373.4757</v>
      </c>
      <c r="R39" s="2">
        <v>0.5786</v>
      </c>
      <c r="S39" s="2">
        <v>10.311773000000001</v>
      </c>
      <c r="T39" s="2">
        <v>10.249499999999999</v>
      </c>
      <c r="U39" s="2">
        <v>1.3038000000000001</v>
      </c>
    </row>
    <row r="40" spans="1:21" customFormat="1" x14ac:dyDescent="0.5">
      <c r="A40" s="1" t="s">
        <v>144</v>
      </c>
      <c r="B40" s="2">
        <v>0.90586500000000003</v>
      </c>
      <c r="C40" s="2">
        <v>6.1191000000000004</v>
      </c>
      <c r="D40" s="2">
        <v>2102.6580279999998</v>
      </c>
      <c r="E40" s="5">
        <v>641.44313799999998</v>
      </c>
      <c r="F40" s="2">
        <v>15.4885</v>
      </c>
      <c r="G40" s="2">
        <v>7.3429000000000002</v>
      </c>
      <c r="H40" s="2">
        <v>12.386799999999999</v>
      </c>
      <c r="I40" s="2">
        <v>4125.9443000000001</v>
      </c>
      <c r="J40" s="5">
        <v>3.1342940000000001</v>
      </c>
      <c r="K40" s="2">
        <v>12.6486</v>
      </c>
      <c r="L40" s="2">
        <v>0.67215199999999997</v>
      </c>
      <c r="M40" s="2">
        <v>3.396995</v>
      </c>
      <c r="N40" s="2">
        <v>69.481700000000004</v>
      </c>
      <c r="O40" s="2">
        <v>3.7433999999999998</v>
      </c>
      <c r="P40" s="2">
        <v>0.64249999999999996</v>
      </c>
      <c r="Q40" s="2">
        <v>1365.5917999999999</v>
      </c>
      <c r="R40" s="2">
        <v>0.57809999999999995</v>
      </c>
      <c r="S40" s="2">
        <v>10.289723</v>
      </c>
      <c r="T40" s="2">
        <v>10.1496</v>
      </c>
      <c r="U40" s="2">
        <v>1.3044</v>
      </c>
    </row>
    <row r="41" spans="1:21" customFormat="1" x14ac:dyDescent="0.5">
      <c r="A41" s="1" t="s">
        <v>145</v>
      </c>
      <c r="B41" s="2">
        <v>0.88830900000000002</v>
      </c>
      <c r="C41" s="2">
        <v>6.0404999999999998</v>
      </c>
      <c r="D41" s="2">
        <v>2052.091809</v>
      </c>
      <c r="E41" s="5">
        <v>612.40030899999999</v>
      </c>
      <c r="F41" s="2">
        <v>15.1981</v>
      </c>
      <c r="G41" s="2">
        <v>7.1802000000000001</v>
      </c>
      <c r="H41" s="2">
        <v>12.206300000000001</v>
      </c>
      <c r="I41" s="2">
        <v>4130.1934000000001</v>
      </c>
      <c r="J41" s="5">
        <v>3.0557829999999999</v>
      </c>
      <c r="K41" s="2">
        <v>12.3955</v>
      </c>
      <c r="L41" s="2">
        <v>0.66090199999999999</v>
      </c>
      <c r="M41" s="2">
        <v>3.331159</v>
      </c>
      <c r="N41" s="2">
        <v>69.016300000000001</v>
      </c>
      <c r="O41" s="2">
        <v>3.6838000000000002</v>
      </c>
      <c r="P41" s="2">
        <v>0.62960000000000005</v>
      </c>
      <c r="Q41" s="2">
        <v>1339.126</v>
      </c>
      <c r="R41" s="2">
        <v>0.57410000000000005</v>
      </c>
      <c r="S41" s="2">
        <v>10.246644999999999</v>
      </c>
      <c r="T41" s="2">
        <v>9.9879999999999995</v>
      </c>
      <c r="U41" s="2">
        <v>1.296</v>
      </c>
    </row>
    <row r="42" spans="1:21" customFormat="1" x14ac:dyDescent="0.5">
      <c r="A42" s="1" t="s">
        <v>146</v>
      </c>
      <c r="B42" s="2">
        <v>0.89237200000000005</v>
      </c>
      <c r="C42" s="2">
        <v>6.0823999999999998</v>
      </c>
      <c r="D42" s="2">
        <v>2059.5682919999999</v>
      </c>
      <c r="E42" s="5">
        <v>597.12196200000005</v>
      </c>
      <c r="F42" s="2">
        <v>15.2926</v>
      </c>
      <c r="G42" s="2">
        <v>7.1024000000000003</v>
      </c>
      <c r="H42" s="2">
        <v>12.321899999999999</v>
      </c>
      <c r="I42" s="2">
        <v>4164.6117999999997</v>
      </c>
      <c r="J42" s="5">
        <v>3.065299</v>
      </c>
      <c r="K42" s="2">
        <v>12.5566</v>
      </c>
      <c r="L42" s="2">
        <v>0.67017199999999999</v>
      </c>
      <c r="M42" s="2">
        <v>3.3463959999999999</v>
      </c>
      <c r="N42" s="2">
        <v>69.170400000000001</v>
      </c>
      <c r="O42" s="2">
        <v>3.9569999999999999</v>
      </c>
      <c r="P42" s="2">
        <v>0.63290000000000002</v>
      </c>
      <c r="Q42" s="2">
        <v>1345.2511</v>
      </c>
      <c r="R42" s="2">
        <v>0.57299999999999995</v>
      </c>
      <c r="S42" s="2">
        <v>10.268527000000001</v>
      </c>
      <c r="T42" s="2">
        <v>9.8925999999999998</v>
      </c>
      <c r="U42" s="2">
        <v>1.302</v>
      </c>
    </row>
    <row r="43" spans="1:21" customFormat="1" x14ac:dyDescent="0.5">
      <c r="A43" s="1" t="s">
        <v>147</v>
      </c>
      <c r="B43" s="2">
        <v>1.2366010000000001</v>
      </c>
      <c r="C43" s="2">
        <v>6.0602</v>
      </c>
      <c r="D43" s="2">
        <v>2010.2625069999999</v>
      </c>
      <c r="E43" s="5">
        <v>589.39935100000002</v>
      </c>
      <c r="F43" s="2">
        <v>15.2897</v>
      </c>
      <c r="G43" s="2">
        <v>7.0804</v>
      </c>
      <c r="H43" s="2">
        <v>12.256500000000001</v>
      </c>
      <c r="I43" s="2">
        <v>4224.7587999999996</v>
      </c>
      <c r="J43" s="5">
        <v>3.056171</v>
      </c>
      <c r="K43" s="2">
        <v>12.6601</v>
      </c>
      <c r="L43" s="2">
        <v>0.67218100000000003</v>
      </c>
      <c r="M43" s="2">
        <v>3.3123239999999998</v>
      </c>
      <c r="N43" s="2">
        <v>68.798299999999998</v>
      </c>
      <c r="O43" s="2">
        <v>3.8866999999999998</v>
      </c>
      <c r="P43" s="2">
        <v>0.62639999999999996</v>
      </c>
      <c r="Q43" s="2">
        <v>1331.5542</v>
      </c>
      <c r="R43" s="2">
        <v>1.1439999999999999</v>
      </c>
      <c r="S43" s="2">
        <v>10.231989</v>
      </c>
      <c r="T43" s="2">
        <v>9.6950000000000003</v>
      </c>
      <c r="U43" s="2">
        <v>1.2984</v>
      </c>
    </row>
    <row r="44" spans="1:21" customFormat="1" x14ac:dyDescent="0.5">
      <c r="A44" s="1" t="s">
        <v>148</v>
      </c>
      <c r="B44" s="2">
        <v>1.697438</v>
      </c>
      <c r="C44" s="2">
        <v>6.0362999999999998</v>
      </c>
      <c r="D44" s="2">
        <v>1990.3964450000001</v>
      </c>
      <c r="E44" s="5">
        <v>590.61458300000004</v>
      </c>
      <c r="F44" s="2">
        <v>15.3813</v>
      </c>
      <c r="G44" s="2">
        <v>6.9071999999999996</v>
      </c>
      <c r="H44" s="2">
        <v>12.13</v>
      </c>
      <c r="I44" s="2">
        <v>4268.3046999999997</v>
      </c>
      <c r="J44" s="5">
        <v>3.025112</v>
      </c>
      <c r="K44" s="2">
        <v>12.745100000000001</v>
      </c>
      <c r="L44" s="2">
        <v>0.76824099999999995</v>
      </c>
      <c r="M44" s="2">
        <v>3.2626309999999998</v>
      </c>
      <c r="N44" s="2">
        <v>68.664900000000003</v>
      </c>
      <c r="O44" s="2">
        <v>3.8929999999999998</v>
      </c>
      <c r="P44" s="2">
        <v>0.61699999999999999</v>
      </c>
      <c r="Q44" s="2">
        <v>1311.5778</v>
      </c>
      <c r="R44" s="2">
        <v>1.1443000000000001</v>
      </c>
      <c r="S44" s="2">
        <v>10.18985</v>
      </c>
      <c r="T44" s="2">
        <v>9.7106999999999992</v>
      </c>
      <c r="U44" s="2">
        <v>1.2928999999999999</v>
      </c>
    </row>
    <row r="45" spans="1:21" customFormat="1" x14ac:dyDescent="0.5">
      <c r="A45" s="1" t="s">
        <v>149</v>
      </c>
      <c r="B45" s="2">
        <v>2.087907</v>
      </c>
      <c r="C45" s="2">
        <v>6.1271000000000004</v>
      </c>
      <c r="D45" s="2">
        <v>1997.8836839999999</v>
      </c>
      <c r="E45" s="5">
        <v>580.88311699999997</v>
      </c>
      <c r="F45" s="2">
        <v>15.4754</v>
      </c>
      <c r="G45" s="2">
        <v>6.9284999999999997</v>
      </c>
      <c r="H45" s="2">
        <v>12.2682</v>
      </c>
      <c r="I45" s="2">
        <v>4271.0141999999996</v>
      </c>
      <c r="J45" s="5">
        <v>3.0267650000000001</v>
      </c>
      <c r="K45" s="2">
        <v>13.334099999999999</v>
      </c>
      <c r="L45" s="2">
        <v>0.82850699999999999</v>
      </c>
      <c r="M45" s="2">
        <v>3.2842500000000001</v>
      </c>
      <c r="N45" s="2">
        <v>69.8065</v>
      </c>
      <c r="O45" s="2">
        <v>3.9258000000000002</v>
      </c>
      <c r="P45" s="2">
        <v>0.62109999999999999</v>
      </c>
      <c r="Q45" s="2">
        <v>1320.2686000000001</v>
      </c>
      <c r="R45" s="2">
        <v>1.1509</v>
      </c>
      <c r="S45" s="2">
        <v>10.20307</v>
      </c>
      <c r="T45" s="2">
        <v>9.7927</v>
      </c>
      <c r="U45" s="2">
        <v>1.3048999999999999</v>
      </c>
    </row>
    <row r="46" spans="1:21" customFormat="1" x14ac:dyDescent="0.5">
      <c r="A46" s="1" t="s">
        <v>150</v>
      </c>
      <c r="B46" s="2">
        <v>2.5140220000000002</v>
      </c>
      <c r="C46" s="2">
        <v>6.2408000000000001</v>
      </c>
      <c r="D46" s="2">
        <v>2004.7510569999999</v>
      </c>
      <c r="E46" s="5">
        <v>576.52425500000004</v>
      </c>
      <c r="F46" s="2">
        <v>15.7441</v>
      </c>
      <c r="G46" s="2">
        <v>6.9317000000000002</v>
      </c>
      <c r="H46" s="2">
        <v>12.469099999999999</v>
      </c>
      <c r="I46" s="2">
        <v>4291.0228999999999</v>
      </c>
      <c r="J46" s="5">
        <v>3.0464129999999998</v>
      </c>
      <c r="K46" s="2">
        <v>14.505699999999999</v>
      </c>
      <c r="L46" s="2">
        <v>0.77599799999999997</v>
      </c>
      <c r="M46" s="2">
        <v>3.3219110000000001</v>
      </c>
      <c r="N46" s="2">
        <v>71.031300000000002</v>
      </c>
      <c r="O46" s="2">
        <v>4.0536000000000003</v>
      </c>
      <c r="P46" s="2">
        <v>0.62829999999999997</v>
      </c>
      <c r="Q46" s="2">
        <v>1335.4081000000001</v>
      </c>
      <c r="R46" s="2">
        <v>1.1684000000000001</v>
      </c>
      <c r="S46" s="2">
        <v>10.227942000000001</v>
      </c>
      <c r="T46" s="2">
        <v>10.111499999999999</v>
      </c>
      <c r="U46" s="2">
        <v>1.3146</v>
      </c>
    </row>
    <row r="47" spans="1:21" customFormat="1" x14ac:dyDescent="0.5">
      <c r="A47" s="1" t="s">
        <v>151</v>
      </c>
      <c r="B47" s="2">
        <v>3.0316019999999999</v>
      </c>
      <c r="C47" s="2">
        <v>6.4740000000000002</v>
      </c>
      <c r="D47" s="2">
        <v>2116.3717470000001</v>
      </c>
      <c r="E47" s="5">
        <v>599.635445</v>
      </c>
      <c r="F47" s="2">
        <v>16.378499999999999</v>
      </c>
      <c r="G47" s="2">
        <v>7.2140000000000004</v>
      </c>
      <c r="H47" s="2">
        <v>12.971</v>
      </c>
      <c r="I47" s="2">
        <v>4586.4673000000003</v>
      </c>
      <c r="J47" s="5">
        <v>3.1645669999999999</v>
      </c>
      <c r="K47" s="2">
        <v>15.6449</v>
      </c>
      <c r="L47" s="2">
        <v>0.883988</v>
      </c>
      <c r="M47" s="2">
        <v>3.4387500000000002</v>
      </c>
      <c r="N47" s="2">
        <v>73.437899999999999</v>
      </c>
      <c r="O47" s="2">
        <v>4.2241999999999997</v>
      </c>
      <c r="P47" s="2">
        <v>0.65039999999999998</v>
      </c>
      <c r="Q47" s="2">
        <v>1382.3774000000001</v>
      </c>
      <c r="R47" s="2">
        <v>1.1958</v>
      </c>
      <c r="S47" s="2">
        <v>10.319001</v>
      </c>
      <c r="T47" s="2">
        <v>10.536899999999999</v>
      </c>
      <c r="U47" s="2">
        <v>1.3324</v>
      </c>
    </row>
    <row r="48" spans="1:21" customFormat="1" x14ac:dyDescent="0.5">
      <c r="A48" s="1" t="s">
        <v>152</v>
      </c>
      <c r="B48" s="2">
        <v>3.4405399999999999</v>
      </c>
      <c r="C48" s="2">
        <v>6.8113000000000001</v>
      </c>
      <c r="D48" s="2">
        <v>2255.516725</v>
      </c>
      <c r="E48" s="5">
        <v>643.74682700000005</v>
      </c>
      <c r="F48" s="2">
        <v>17.147300000000001</v>
      </c>
      <c r="G48" s="2">
        <v>7.548</v>
      </c>
      <c r="H48" s="2">
        <v>13.5806</v>
      </c>
      <c r="I48" s="2">
        <v>5271.8315000000002</v>
      </c>
      <c r="J48" s="5">
        <v>3.3258869999999998</v>
      </c>
      <c r="K48" s="2">
        <v>17.020199999999999</v>
      </c>
      <c r="L48" s="2">
        <v>1.141751</v>
      </c>
      <c r="M48" s="2">
        <v>3.5829</v>
      </c>
      <c r="N48" s="2">
        <v>76.435199999999995</v>
      </c>
      <c r="O48" s="2">
        <v>4.4886999999999997</v>
      </c>
      <c r="P48" s="2">
        <v>0.67759999999999998</v>
      </c>
      <c r="Q48" s="2">
        <v>1440.3258000000001</v>
      </c>
      <c r="R48" s="2">
        <v>1.2330000000000001</v>
      </c>
      <c r="S48" s="2">
        <v>10.420029</v>
      </c>
      <c r="T48" s="2">
        <v>11.196899999999999</v>
      </c>
      <c r="U48" s="2">
        <v>1.351</v>
      </c>
    </row>
    <row r="49" spans="1:21" customFormat="1" x14ac:dyDescent="0.5">
      <c r="A49" s="1" t="s">
        <v>153</v>
      </c>
      <c r="B49" s="2">
        <v>3.5420919999999998</v>
      </c>
      <c r="C49" s="2">
        <v>7.1348000000000003</v>
      </c>
      <c r="D49" s="2">
        <v>2482.4706820000001</v>
      </c>
      <c r="E49" s="5">
        <v>690.88653299999999</v>
      </c>
      <c r="F49" s="2">
        <v>17.879100000000001</v>
      </c>
      <c r="G49" s="2">
        <v>7.7946</v>
      </c>
      <c r="H49" s="2">
        <v>14.1713</v>
      </c>
      <c r="I49" s="2">
        <v>6259.4813999999997</v>
      </c>
      <c r="J49" s="5">
        <v>3.5053809999999999</v>
      </c>
      <c r="K49" s="2">
        <v>22.474900000000002</v>
      </c>
      <c r="L49" s="2">
        <v>1.3166260000000001</v>
      </c>
      <c r="M49" s="2">
        <v>3.720685</v>
      </c>
      <c r="N49" s="2">
        <v>79.290300000000002</v>
      </c>
      <c r="O49" s="2">
        <v>4.4023000000000003</v>
      </c>
      <c r="P49" s="2">
        <v>0.70369999999999999</v>
      </c>
      <c r="Q49" s="2">
        <v>1495.7153000000001</v>
      </c>
      <c r="R49" s="2">
        <v>1.2168000000000001</v>
      </c>
      <c r="S49" s="2">
        <v>10.51019</v>
      </c>
      <c r="T49" s="2">
        <v>10.981400000000001</v>
      </c>
      <c r="U49" s="2">
        <v>1.3593</v>
      </c>
    </row>
    <row r="50" spans="1:21" customFormat="1" x14ac:dyDescent="0.5">
      <c r="A50" s="1" t="s">
        <v>154</v>
      </c>
      <c r="B50" s="2">
        <v>3.4945110000000001</v>
      </c>
      <c r="C50" s="2">
        <v>7.0965999999999996</v>
      </c>
      <c r="D50" s="2">
        <v>2589.6830369999998</v>
      </c>
      <c r="E50" s="5">
        <v>686.68019800000002</v>
      </c>
      <c r="F50" s="2">
        <v>18.040600000000001</v>
      </c>
      <c r="G50" s="2">
        <v>7.5991</v>
      </c>
      <c r="H50" s="2">
        <v>14.034800000000001</v>
      </c>
      <c r="I50" s="2">
        <v>5983.8856999999998</v>
      </c>
      <c r="J50" s="5">
        <v>3.4906000000000001</v>
      </c>
      <c r="K50" s="2">
        <v>26.106200000000001</v>
      </c>
      <c r="L50" s="2">
        <v>1.341485</v>
      </c>
      <c r="M50" s="2">
        <v>3.6665969999999999</v>
      </c>
      <c r="N50" s="2">
        <v>78.199200000000005</v>
      </c>
      <c r="O50" s="2">
        <v>4.4248000000000003</v>
      </c>
      <c r="P50" s="2">
        <v>0.69340000000000002</v>
      </c>
      <c r="Q50" s="2">
        <v>1473.9718</v>
      </c>
      <c r="R50" s="2">
        <v>1.2184999999999999</v>
      </c>
      <c r="S50" s="2">
        <v>10.484510999999999</v>
      </c>
      <c r="T50" s="2">
        <v>11.0375</v>
      </c>
      <c r="U50" s="2">
        <v>1.3552</v>
      </c>
    </row>
    <row r="51" spans="1:21" customFormat="1" x14ac:dyDescent="0.5">
      <c r="A51" s="1" t="s">
        <v>155</v>
      </c>
      <c r="B51" s="2">
        <v>3.5357669999999999</v>
      </c>
      <c r="C51" s="2">
        <v>7.1745000000000001</v>
      </c>
      <c r="D51" s="2">
        <v>2695.8921879999998</v>
      </c>
      <c r="E51" s="5">
        <v>713.01850300000001</v>
      </c>
      <c r="F51" s="2">
        <v>18.434000000000001</v>
      </c>
      <c r="G51" s="2">
        <v>7.6325000000000003</v>
      </c>
      <c r="H51" s="2">
        <v>14.147</v>
      </c>
      <c r="I51" s="2">
        <v>6007.7632000000003</v>
      </c>
      <c r="J51" s="5">
        <v>3.5494979999999998</v>
      </c>
      <c r="K51" s="2">
        <v>28.375399999999999</v>
      </c>
      <c r="L51" s="2">
        <v>1.4280379999999999</v>
      </c>
      <c r="M51" s="2">
        <v>3.6779820000000001</v>
      </c>
      <c r="N51" s="2">
        <v>78.402799999999999</v>
      </c>
      <c r="O51" s="2">
        <v>4.4370000000000003</v>
      </c>
      <c r="P51" s="2">
        <v>0.6956</v>
      </c>
      <c r="Q51" s="2">
        <v>1478.5488</v>
      </c>
      <c r="R51" s="2">
        <v>1.2263999999999999</v>
      </c>
      <c r="S51" s="2">
        <v>10.485682000000001</v>
      </c>
      <c r="T51" s="2">
        <v>11.0679</v>
      </c>
      <c r="U51" s="2">
        <v>1.3613</v>
      </c>
    </row>
    <row r="52" spans="1:21" customFormat="1" x14ac:dyDescent="0.5">
      <c r="A52" s="1" t="s">
        <v>156</v>
      </c>
      <c r="B52" s="2">
        <v>3.5378780000000001</v>
      </c>
      <c r="C52" s="2">
        <v>7.2317999999999998</v>
      </c>
      <c r="D52" s="2">
        <v>2775.8214189999999</v>
      </c>
      <c r="E52" s="5">
        <v>728.29661399999998</v>
      </c>
      <c r="F52" s="2">
        <v>19.2121</v>
      </c>
      <c r="G52" s="2">
        <v>7.5819999999999999</v>
      </c>
      <c r="H52" s="2">
        <v>14.2202</v>
      </c>
      <c r="I52" s="2">
        <v>6312.0609999999997</v>
      </c>
      <c r="J52" s="5">
        <v>3.5467080000000002</v>
      </c>
      <c r="K52" s="2">
        <v>26.4693</v>
      </c>
      <c r="L52" s="2">
        <v>1.423589</v>
      </c>
      <c r="M52" s="2">
        <v>3.6791580000000002</v>
      </c>
      <c r="N52" s="2">
        <v>78.411199999999994</v>
      </c>
      <c r="O52" s="2">
        <v>4.4387999999999996</v>
      </c>
      <c r="P52" s="2">
        <v>0.69579999999999997</v>
      </c>
      <c r="Q52" s="2">
        <v>1479.0214000000001</v>
      </c>
      <c r="R52" s="2">
        <v>1.2269000000000001</v>
      </c>
      <c r="S52" s="2">
        <v>10.489032999999999</v>
      </c>
      <c r="T52" s="2">
        <v>11.0723</v>
      </c>
      <c r="U52" s="2">
        <v>1.3617999999999999</v>
      </c>
    </row>
    <row r="53" spans="1:21" customFormat="1" x14ac:dyDescent="0.5">
      <c r="A53" s="1" t="s">
        <v>157</v>
      </c>
      <c r="B53" s="2">
        <v>3.4937520000000002</v>
      </c>
      <c r="C53" s="2">
        <v>7.4230999999999998</v>
      </c>
      <c r="D53" s="2">
        <v>2736.2815449999998</v>
      </c>
      <c r="E53" s="5">
        <v>710.44622500000003</v>
      </c>
      <c r="F53" s="2">
        <v>20.678100000000001</v>
      </c>
      <c r="G53" s="2">
        <v>7.6234000000000002</v>
      </c>
      <c r="H53" s="2">
        <v>14.5848</v>
      </c>
      <c r="I53" s="2">
        <v>6701.9146000000001</v>
      </c>
      <c r="J53" s="5">
        <v>3.5878800000000002</v>
      </c>
      <c r="K53" s="2">
        <v>27.184999999999999</v>
      </c>
      <c r="L53" s="2">
        <v>1.366859</v>
      </c>
      <c r="M53" s="2">
        <v>3.7551070000000002</v>
      </c>
      <c r="N53" s="2">
        <v>79.959699999999998</v>
      </c>
      <c r="O53" s="2">
        <v>4.4672000000000001</v>
      </c>
      <c r="P53" s="2">
        <v>0.71020000000000005</v>
      </c>
      <c r="Q53" s="2">
        <v>1509.5531000000001</v>
      </c>
      <c r="R53" s="2">
        <v>1.2332000000000001</v>
      </c>
      <c r="S53" s="2">
        <v>10.535329000000001</v>
      </c>
      <c r="T53" s="2">
        <v>11.1431</v>
      </c>
      <c r="U53" s="2">
        <v>1.3758999999999999</v>
      </c>
    </row>
    <row r="54" spans="1:21" customFormat="1" x14ac:dyDescent="0.5">
      <c r="A54" s="1" t="s">
        <v>158</v>
      </c>
      <c r="B54" s="2">
        <v>3.4987240000000002</v>
      </c>
      <c r="C54" s="2">
        <v>7.5982000000000003</v>
      </c>
      <c r="D54" s="2">
        <v>2864.5345309999998</v>
      </c>
      <c r="E54" s="5">
        <v>714.76410999999996</v>
      </c>
      <c r="F54" s="2">
        <v>21.9739</v>
      </c>
      <c r="G54" s="2">
        <v>7.7916999999999996</v>
      </c>
      <c r="H54" s="2">
        <v>14.9032</v>
      </c>
      <c r="I54" s="2">
        <v>7113.1220999999996</v>
      </c>
      <c r="J54" s="5">
        <v>3.5781480000000001</v>
      </c>
      <c r="K54" s="2">
        <v>27.716899999999999</v>
      </c>
      <c r="L54" s="2">
        <v>1.343078</v>
      </c>
      <c r="M54" s="2">
        <v>3.8184559999999999</v>
      </c>
      <c r="N54" s="2">
        <v>81.249600000000001</v>
      </c>
      <c r="O54" s="2">
        <v>4.7191999999999998</v>
      </c>
      <c r="P54" s="2">
        <v>0.72219999999999995</v>
      </c>
      <c r="Q54" s="2">
        <v>1535.0193999999999</v>
      </c>
      <c r="R54" s="2">
        <v>1.2681</v>
      </c>
      <c r="S54" s="2">
        <v>10.566432000000001</v>
      </c>
      <c r="T54" s="2">
        <v>11.771699999999999</v>
      </c>
      <c r="U54" s="2">
        <v>1.3848</v>
      </c>
    </row>
    <row r="55" spans="1:21" customFormat="1" x14ac:dyDescent="0.5">
      <c r="A55" s="1" t="s">
        <v>159</v>
      </c>
      <c r="B55" s="2">
        <v>3.4106800000000002</v>
      </c>
      <c r="C55" s="2">
        <v>7.9886999999999997</v>
      </c>
      <c r="D55" s="2">
        <v>3094.1488770000001</v>
      </c>
      <c r="E55" s="5">
        <v>767.40838299999996</v>
      </c>
      <c r="F55" s="2">
        <v>24.040500000000002</v>
      </c>
      <c r="G55" s="2">
        <v>8.2840000000000007</v>
      </c>
      <c r="H55" s="2">
        <v>15.623699999999999</v>
      </c>
      <c r="I55" s="2">
        <v>7529.6265000000003</v>
      </c>
      <c r="J55" s="5">
        <v>3.7112790000000002</v>
      </c>
      <c r="K55" s="2">
        <v>29.520299999999999</v>
      </c>
      <c r="L55" s="2">
        <v>1.7536700000000001</v>
      </c>
      <c r="M55" s="2">
        <v>3.9831989999999999</v>
      </c>
      <c r="N55" s="2">
        <v>84.630799999999994</v>
      </c>
      <c r="O55" s="2">
        <v>5.8167999999999997</v>
      </c>
      <c r="P55" s="2">
        <v>0.75329999999999997</v>
      </c>
      <c r="Q55" s="2">
        <v>1601.2460000000001</v>
      </c>
      <c r="R55" s="2">
        <v>1.2922</v>
      </c>
      <c r="S55" s="2">
        <v>10.676035000000001</v>
      </c>
      <c r="T55" s="2">
        <v>12.141</v>
      </c>
      <c r="U55" s="2">
        <v>1.4106000000000001</v>
      </c>
    </row>
    <row r="56" spans="1:21" customFormat="1" x14ac:dyDescent="0.5">
      <c r="A56" s="1" t="s">
        <v>160</v>
      </c>
      <c r="B56" s="2">
        <v>3.3546969999999998</v>
      </c>
      <c r="C56" s="2">
        <v>8.1335999999999995</v>
      </c>
      <c r="D56" s="2">
        <v>3180.0241339999998</v>
      </c>
      <c r="E56" s="5">
        <v>802.81103099999996</v>
      </c>
      <c r="F56" s="2">
        <v>26.584399999999999</v>
      </c>
      <c r="G56" s="2">
        <v>8.4320000000000004</v>
      </c>
      <c r="H56" s="2">
        <v>15.920299999999999</v>
      </c>
      <c r="I56" s="2">
        <v>7479.4434000000001</v>
      </c>
      <c r="J56" s="5">
        <v>3.7532960000000002</v>
      </c>
      <c r="K56" s="2">
        <v>30.6738</v>
      </c>
      <c r="L56" s="2">
        <v>1.7764599999999999</v>
      </c>
      <c r="M56" s="2">
        <v>4.0398560000000003</v>
      </c>
      <c r="N56" s="2">
        <v>85.796899999999994</v>
      </c>
      <c r="O56" s="2">
        <v>5.9451999999999998</v>
      </c>
      <c r="P56" s="2">
        <v>0.76400000000000001</v>
      </c>
      <c r="Q56" s="2">
        <v>1624.0222000000001</v>
      </c>
      <c r="R56" s="2">
        <v>1.2944</v>
      </c>
      <c r="S56" s="2">
        <v>10.707235000000001</v>
      </c>
      <c r="T56" s="2">
        <v>12.1028</v>
      </c>
      <c r="U56" s="2">
        <v>1.4188000000000001</v>
      </c>
    </row>
    <row r="57" spans="1:21" customFormat="1" x14ac:dyDescent="0.5">
      <c r="A57" s="1" t="s">
        <v>161</v>
      </c>
      <c r="B57" s="2">
        <v>3.2657319999999999</v>
      </c>
      <c r="C57" s="2">
        <v>8.1881000000000004</v>
      </c>
      <c r="D57" s="2">
        <v>3197.661212</v>
      </c>
      <c r="E57" s="5">
        <v>803.22733300000004</v>
      </c>
      <c r="F57" s="2">
        <v>25.529299999999999</v>
      </c>
      <c r="G57" s="2">
        <v>8.5435999999999996</v>
      </c>
      <c r="H57" s="2">
        <v>16.045500000000001</v>
      </c>
      <c r="I57" s="2">
        <v>7403.5492999999997</v>
      </c>
      <c r="J57" s="5">
        <v>3.7595900000000002</v>
      </c>
      <c r="K57" s="2">
        <v>31.0288</v>
      </c>
      <c r="L57" s="2">
        <v>1.7247209999999999</v>
      </c>
      <c r="M57" s="2">
        <v>4.0524459999999998</v>
      </c>
      <c r="N57" s="2">
        <v>86.089100000000002</v>
      </c>
      <c r="O57" s="2">
        <v>6.2407000000000004</v>
      </c>
      <c r="P57" s="2">
        <v>0.76639999999999997</v>
      </c>
      <c r="Q57" s="2">
        <v>1629.0835</v>
      </c>
      <c r="R57" s="2">
        <v>1.3048</v>
      </c>
      <c r="S57" s="2">
        <v>10.71683</v>
      </c>
      <c r="T57" s="2">
        <v>12.2296</v>
      </c>
      <c r="U57" s="2">
        <v>1.4232</v>
      </c>
    </row>
    <row r="58" spans="1:21" customFormat="1" x14ac:dyDescent="0.5">
      <c r="A58" s="1" t="s">
        <v>162</v>
      </c>
      <c r="B58" s="2">
        <v>3.0828880000000001</v>
      </c>
      <c r="C58" s="2">
        <v>8.2431000000000001</v>
      </c>
      <c r="D58" s="2">
        <v>3174.4632740000002</v>
      </c>
      <c r="E58" s="5">
        <v>779.12887000000001</v>
      </c>
      <c r="F58" s="2">
        <v>27.563800000000001</v>
      </c>
      <c r="G58" s="2">
        <v>8.5783000000000005</v>
      </c>
      <c r="H58" s="2">
        <v>16.164000000000001</v>
      </c>
      <c r="I58" s="2">
        <v>7436.1602000000003</v>
      </c>
      <c r="J58" s="5">
        <v>3.7586930000000001</v>
      </c>
      <c r="K58" s="2">
        <v>31.1814</v>
      </c>
      <c r="L58" s="2">
        <v>1.731277</v>
      </c>
      <c r="M58" s="2">
        <v>4.06785</v>
      </c>
      <c r="N58" s="2">
        <v>86.412000000000006</v>
      </c>
      <c r="O58" s="2">
        <v>6.5538999999999996</v>
      </c>
      <c r="P58" s="2">
        <v>0.76929999999999998</v>
      </c>
      <c r="Q58" s="2">
        <v>1635.2757999999999</v>
      </c>
      <c r="R58" s="2">
        <v>1.3234999999999999</v>
      </c>
      <c r="S58" s="2">
        <v>10.720682999999999</v>
      </c>
      <c r="T58" s="2">
        <v>12.4945</v>
      </c>
      <c r="U58" s="2">
        <v>1.4361999999999999</v>
      </c>
    </row>
    <row r="59" spans="1:21" customFormat="1" x14ac:dyDescent="0.5">
      <c r="A59" s="1" t="s">
        <v>163</v>
      </c>
      <c r="B59" s="2">
        <v>3.229009</v>
      </c>
      <c r="C59" s="2">
        <v>8.8102999999999998</v>
      </c>
      <c r="D59" s="2">
        <v>3311.1697840000002</v>
      </c>
      <c r="E59" s="5">
        <v>814.872974</v>
      </c>
      <c r="F59" s="2">
        <v>30.992899999999999</v>
      </c>
      <c r="G59" s="2">
        <v>9.1531000000000002</v>
      </c>
      <c r="H59" s="2">
        <v>17.364599999999999</v>
      </c>
      <c r="I59" s="2">
        <v>7484.3969999999999</v>
      </c>
      <c r="J59" s="5">
        <v>4.0316280000000004</v>
      </c>
      <c r="K59" s="2">
        <v>33.762099999999997</v>
      </c>
      <c r="L59" s="2">
        <v>1.848457</v>
      </c>
      <c r="M59" s="2">
        <v>4.3431790000000001</v>
      </c>
      <c r="N59" s="2">
        <v>92.033699999999996</v>
      </c>
      <c r="O59" s="2">
        <v>7.0613000000000001</v>
      </c>
      <c r="P59" s="2">
        <v>0.82140000000000002</v>
      </c>
      <c r="Q59" s="2">
        <v>1745.9577999999999</v>
      </c>
      <c r="R59" s="2">
        <v>1.3698999999999999</v>
      </c>
      <c r="S59" s="2">
        <v>10.857946</v>
      </c>
      <c r="T59" s="2">
        <v>13.270200000000001</v>
      </c>
      <c r="U59" s="2">
        <v>1.472</v>
      </c>
    </row>
    <row r="60" spans="1:21" customFormat="1" x14ac:dyDescent="0.5">
      <c r="A60" s="1" t="s">
        <v>164</v>
      </c>
      <c r="B60" s="2">
        <v>3.2189350000000001</v>
      </c>
      <c r="C60" s="2">
        <v>8.9056999999999995</v>
      </c>
      <c r="D60" s="2">
        <v>3297.0178810000002</v>
      </c>
      <c r="E60" s="5">
        <v>827.103117</v>
      </c>
      <c r="F60" s="2">
        <v>36.982799999999997</v>
      </c>
      <c r="G60" s="2">
        <v>9.2369000000000003</v>
      </c>
      <c r="H60" s="2">
        <v>17.571200000000001</v>
      </c>
      <c r="I60" s="2">
        <v>7260.3325000000004</v>
      </c>
      <c r="J60" s="5">
        <v>4.0574919999999999</v>
      </c>
      <c r="K60" s="2">
        <v>31.154900000000001</v>
      </c>
      <c r="L60" s="2">
        <v>1.8613839999999999</v>
      </c>
      <c r="M60" s="2">
        <v>4.3735540000000004</v>
      </c>
      <c r="N60" s="2">
        <v>92.483699999999999</v>
      </c>
      <c r="O60" s="2">
        <v>6.8939000000000004</v>
      </c>
      <c r="P60" s="2">
        <v>0.82709999999999995</v>
      </c>
      <c r="Q60" s="2">
        <v>1758.1686</v>
      </c>
      <c r="R60" s="2">
        <v>1.5761000000000001</v>
      </c>
      <c r="S60" s="2">
        <v>10.881401</v>
      </c>
      <c r="T60" s="2">
        <v>12.8268</v>
      </c>
      <c r="U60" s="2">
        <v>1.4730000000000001</v>
      </c>
    </row>
    <row r="61" spans="1:21" customFormat="1" x14ac:dyDescent="0.5">
      <c r="A61" s="1" t="s">
        <v>165</v>
      </c>
      <c r="B61" s="2">
        <v>3.1318009999999998</v>
      </c>
      <c r="C61" s="2">
        <v>8.7210999999999999</v>
      </c>
      <c r="D61" s="2">
        <v>3251.0004629999999</v>
      </c>
      <c r="E61" s="5">
        <v>797.32423100000005</v>
      </c>
      <c r="F61" s="2">
        <v>39.903700000000001</v>
      </c>
      <c r="G61" s="2">
        <v>9.0053000000000001</v>
      </c>
      <c r="H61" s="2">
        <v>17.216899999999999</v>
      </c>
      <c r="I61" s="2">
        <v>6835.1499000000003</v>
      </c>
      <c r="J61" s="5">
        <v>3.9471609999999999</v>
      </c>
      <c r="K61" s="2">
        <v>30.607299999999999</v>
      </c>
      <c r="L61" s="2">
        <v>1.814943</v>
      </c>
      <c r="M61" s="2">
        <v>4.2644349999999998</v>
      </c>
      <c r="N61" s="2">
        <v>88.531899999999993</v>
      </c>
      <c r="O61" s="2">
        <v>6.9447000000000001</v>
      </c>
      <c r="P61" s="2">
        <v>0.80649999999999999</v>
      </c>
      <c r="Q61" s="2">
        <v>1714.3027</v>
      </c>
      <c r="R61" s="2">
        <v>1.5719000000000001</v>
      </c>
      <c r="S61" s="2">
        <v>10.831664</v>
      </c>
      <c r="T61" s="2">
        <v>12.704499999999999</v>
      </c>
      <c r="U61" s="2">
        <v>1.4613</v>
      </c>
    </row>
    <row r="62" spans="1:21" customFormat="1" x14ac:dyDescent="0.5">
      <c r="A62" s="1" t="s">
        <v>166</v>
      </c>
      <c r="B62" s="2">
        <v>3.2045949999999999</v>
      </c>
      <c r="C62" s="2">
        <v>8.5790000000000006</v>
      </c>
      <c r="D62" s="2">
        <v>3193.8679950000001</v>
      </c>
      <c r="E62" s="5">
        <v>783.90596600000003</v>
      </c>
      <c r="F62" s="2">
        <v>37.882599999999996</v>
      </c>
      <c r="G62" s="2">
        <v>8.8229000000000006</v>
      </c>
      <c r="H62" s="2">
        <v>16.947500000000002</v>
      </c>
      <c r="I62" s="2">
        <v>6936.7163</v>
      </c>
      <c r="J62" s="5">
        <v>3.87737</v>
      </c>
      <c r="K62" s="2">
        <v>30.968800000000002</v>
      </c>
      <c r="L62" s="2">
        <v>1.777731</v>
      </c>
      <c r="M62" s="2">
        <v>4.1769999999999996</v>
      </c>
      <c r="N62" s="2">
        <v>86.656599999999997</v>
      </c>
      <c r="O62" s="2">
        <v>6.7190000000000003</v>
      </c>
      <c r="P62" s="2">
        <v>0.79</v>
      </c>
      <c r="Q62" s="2">
        <v>1679.1541</v>
      </c>
      <c r="R62" s="2">
        <v>1.5325</v>
      </c>
      <c r="S62" s="2">
        <v>10.783343</v>
      </c>
      <c r="T62" s="2">
        <v>12.265599999999999</v>
      </c>
      <c r="U62" s="2">
        <v>1.4469000000000001</v>
      </c>
    </row>
    <row r="63" spans="1:21" customFormat="1" x14ac:dyDescent="0.5">
      <c r="A63" s="1" t="s">
        <v>167</v>
      </c>
      <c r="B63" s="2">
        <v>3.2217579999999999</v>
      </c>
      <c r="C63" s="2">
        <v>8.6766000000000005</v>
      </c>
      <c r="D63" s="2">
        <v>3187.0604069999999</v>
      </c>
      <c r="E63" s="5">
        <v>757.96034999999995</v>
      </c>
      <c r="F63" s="2">
        <v>36.251800000000003</v>
      </c>
      <c r="G63" s="2">
        <v>8.9594000000000005</v>
      </c>
      <c r="H63" s="2">
        <v>17.1569</v>
      </c>
      <c r="I63" s="2">
        <v>6977.7821999999996</v>
      </c>
      <c r="J63" s="5">
        <v>3.9062830000000002</v>
      </c>
      <c r="K63" s="2">
        <v>31.262599999999999</v>
      </c>
      <c r="L63" s="2">
        <v>1.790988</v>
      </c>
      <c r="M63" s="2">
        <v>4.2081480000000004</v>
      </c>
      <c r="N63" s="2">
        <v>87.156899999999993</v>
      </c>
      <c r="O63" s="2">
        <v>7.1379999999999999</v>
      </c>
      <c r="P63" s="2">
        <v>0.79590000000000005</v>
      </c>
      <c r="Q63" s="2">
        <v>1691.6754000000001</v>
      </c>
      <c r="R63" s="2">
        <v>1.5895999999999999</v>
      </c>
      <c r="S63" s="2">
        <v>10.797546000000001</v>
      </c>
      <c r="T63" s="2">
        <v>13.0794</v>
      </c>
      <c r="U63" s="2">
        <v>1.4532</v>
      </c>
    </row>
    <row r="64" spans="1:21" customFormat="1" x14ac:dyDescent="0.5">
      <c r="A64" s="1" t="s">
        <v>168</v>
      </c>
      <c r="B64" s="2">
        <v>3.2819199999999999</v>
      </c>
      <c r="C64" s="2">
        <v>9.0611999999999995</v>
      </c>
      <c r="D64" s="2">
        <v>3362.827972</v>
      </c>
      <c r="E64" s="5">
        <v>755.37943499999994</v>
      </c>
      <c r="F64" s="2">
        <v>41.440800000000003</v>
      </c>
      <c r="G64" s="2">
        <v>9.4657999999999998</v>
      </c>
      <c r="H64" s="2">
        <v>17.9635</v>
      </c>
      <c r="I64" s="2">
        <v>7256.5859</v>
      </c>
      <c r="J64" s="5">
        <v>4.0664470000000001</v>
      </c>
      <c r="K64" s="2">
        <v>33.015599999999999</v>
      </c>
      <c r="L64" s="2">
        <v>1.8660289999999999</v>
      </c>
      <c r="M64" s="2">
        <v>4.3844669999999999</v>
      </c>
      <c r="N64" s="2">
        <v>89.296999999999997</v>
      </c>
      <c r="O64" s="2">
        <v>7.1300999999999997</v>
      </c>
      <c r="P64" s="2">
        <v>0.82920000000000005</v>
      </c>
      <c r="Q64" s="2">
        <v>1762.5559000000001</v>
      </c>
      <c r="R64" s="2">
        <v>1.5684</v>
      </c>
      <c r="S64" s="2">
        <v>10.876987</v>
      </c>
      <c r="T64" s="2">
        <v>13.0457</v>
      </c>
      <c r="U64" s="2">
        <v>1.4814000000000001</v>
      </c>
    </row>
    <row r="65" spans="1:21" customFormat="1" x14ac:dyDescent="0.5">
      <c r="A65" s="1" t="s">
        <v>169</v>
      </c>
      <c r="B65" s="2">
        <v>3.318673</v>
      </c>
      <c r="C65" s="2">
        <v>9.0866000000000007</v>
      </c>
      <c r="D65" s="2">
        <v>3328.6782440000002</v>
      </c>
      <c r="E65" s="5">
        <v>731.92183199999999</v>
      </c>
      <c r="F65" s="2">
        <v>47.2958</v>
      </c>
      <c r="G65" s="2">
        <v>9.4527999999999999</v>
      </c>
      <c r="H65" s="2">
        <v>18.066600000000001</v>
      </c>
      <c r="I65" s="2">
        <v>7000.9258</v>
      </c>
      <c r="J65" s="5">
        <v>4.0699379999999996</v>
      </c>
      <c r="K65" s="2">
        <v>33.790599999999998</v>
      </c>
      <c r="L65" s="2">
        <v>1.867631</v>
      </c>
      <c r="M65" s="2">
        <v>4.3882310000000002</v>
      </c>
      <c r="N65" s="2">
        <v>83.530900000000003</v>
      </c>
      <c r="O65" s="2">
        <v>7.3522999999999996</v>
      </c>
      <c r="P65" s="2">
        <v>0.82989999999999997</v>
      </c>
      <c r="Q65" s="2">
        <v>1764.069</v>
      </c>
      <c r="R65" s="2">
        <v>1.5992</v>
      </c>
      <c r="S65" s="2">
        <v>10.899196</v>
      </c>
      <c r="T65" s="2">
        <v>13.4633</v>
      </c>
      <c r="U65" s="2">
        <v>1.4815</v>
      </c>
    </row>
    <row r="66" spans="1:21" customFormat="1" x14ac:dyDescent="0.5">
      <c r="A66" s="1" t="s">
        <v>170</v>
      </c>
      <c r="B66" s="2">
        <v>3.5960009999999998</v>
      </c>
      <c r="C66" s="2">
        <v>9.5864999999999991</v>
      </c>
      <c r="D66" s="2">
        <v>3450.5879759999998</v>
      </c>
      <c r="E66" s="5">
        <v>740.70000200000004</v>
      </c>
      <c r="F66" s="2">
        <v>46.548999999999999</v>
      </c>
      <c r="G66" s="2">
        <v>9.8628999999999998</v>
      </c>
      <c r="H66" s="2">
        <v>19.058700000000002</v>
      </c>
      <c r="I66" s="2">
        <v>7397.7241000000004</v>
      </c>
      <c r="J66" s="5">
        <v>4.2643380000000004</v>
      </c>
      <c r="K66" s="2">
        <v>35.9084</v>
      </c>
      <c r="L66" s="2">
        <v>1.960785</v>
      </c>
      <c r="M66" s="2">
        <v>4.6071070000000001</v>
      </c>
      <c r="N66" s="2">
        <v>86.321200000000005</v>
      </c>
      <c r="O66" s="2">
        <v>7.7712000000000003</v>
      </c>
      <c r="P66" s="2">
        <v>0.87129999999999996</v>
      </c>
      <c r="Q66" s="2">
        <v>1852.0571</v>
      </c>
      <c r="R66" s="2">
        <v>1.6424000000000001</v>
      </c>
      <c r="S66" s="2">
        <v>10.998086000000001</v>
      </c>
      <c r="T66" s="2">
        <v>14.177199999999999</v>
      </c>
      <c r="U66" s="2">
        <v>1.5124</v>
      </c>
    </row>
    <row r="67" spans="1:21" customFormat="1" x14ac:dyDescent="0.5">
      <c r="A67" s="1" t="s">
        <v>171</v>
      </c>
      <c r="B67" s="2">
        <v>3.6250309999999999</v>
      </c>
      <c r="C67" s="2">
        <v>9.89</v>
      </c>
      <c r="D67" s="2">
        <v>3467.857841</v>
      </c>
      <c r="E67" s="5">
        <v>723.54307700000004</v>
      </c>
      <c r="F67" s="2">
        <v>60.351599999999998</v>
      </c>
      <c r="G67" s="2">
        <v>10.2318</v>
      </c>
      <c r="H67" s="2">
        <v>19.657699999999998</v>
      </c>
      <c r="I67" s="2">
        <v>7811.6641</v>
      </c>
      <c r="J67" s="5">
        <v>4.3742539999999996</v>
      </c>
      <c r="K67" s="2">
        <v>37.101700000000001</v>
      </c>
      <c r="L67" s="2">
        <v>2.0130650000000001</v>
      </c>
      <c r="M67" s="2">
        <v>4.729946</v>
      </c>
      <c r="N67" s="2">
        <v>90.377300000000005</v>
      </c>
      <c r="O67" s="2">
        <v>7.6284999999999998</v>
      </c>
      <c r="P67" s="2">
        <v>0.89459999999999995</v>
      </c>
      <c r="Q67" s="2">
        <v>1901.4385</v>
      </c>
      <c r="R67" s="2">
        <v>1.6146</v>
      </c>
      <c r="S67" s="2">
        <v>11.041587</v>
      </c>
      <c r="T67" s="2">
        <v>13.901</v>
      </c>
      <c r="U67" s="2">
        <v>1.5275000000000001</v>
      </c>
    </row>
    <row r="68" spans="1:21" customFormat="1" x14ac:dyDescent="0.5">
      <c r="A68" s="1" t="s">
        <v>172</v>
      </c>
      <c r="B68" s="2">
        <v>3.6839110000000002</v>
      </c>
      <c r="C68" s="2">
        <v>9.9286999999999992</v>
      </c>
      <c r="D68" s="2">
        <v>3437.2291570000002</v>
      </c>
      <c r="E68" s="5">
        <v>738.94471699999997</v>
      </c>
      <c r="F68" s="2">
        <v>63.820300000000003</v>
      </c>
      <c r="G68" s="2">
        <v>10.247400000000001</v>
      </c>
      <c r="H68" s="2">
        <v>19.7879</v>
      </c>
      <c r="I68" s="2">
        <v>7628.2505000000001</v>
      </c>
      <c r="J68" s="5">
        <v>4.4060230000000002</v>
      </c>
      <c r="K68" s="2">
        <v>37.326000000000001</v>
      </c>
      <c r="L68" s="2">
        <v>2.42306</v>
      </c>
      <c r="M68" s="2">
        <v>4.7424189999999999</v>
      </c>
      <c r="N68" s="2">
        <v>90.3386</v>
      </c>
      <c r="O68" s="2">
        <v>7.6581999999999999</v>
      </c>
      <c r="P68" s="2">
        <v>0.89690000000000003</v>
      </c>
      <c r="Q68" s="2">
        <v>1906.4523999999999</v>
      </c>
      <c r="R68" s="2">
        <v>1.6211</v>
      </c>
      <c r="S68" s="2">
        <v>11.046673999999999</v>
      </c>
      <c r="T68" s="2">
        <v>13.9392</v>
      </c>
      <c r="U68" s="2">
        <v>1.534</v>
      </c>
    </row>
    <row r="69" spans="1:21" customFormat="1" x14ac:dyDescent="0.5">
      <c r="A69" s="1" t="s">
        <v>173</v>
      </c>
      <c r="B69" s="2">
        <v>3.5264509999999998</v>
      </c>
      <c r="C69" s="2">
        <v>9.6683000000000003</v>
      </c>
      <c r="D69" s="2">
        <v>3274.842122</v>
      </c>
      <c r="E69" s="5">
        <v>740.49340400000006</v>
      </c>
      <c r="F69" s="2">
        <v>57.833300000000001</v>
      </c>
      <c r="G69" s="2">
        <v>9.9295000000000009</v>
      </c>
      <c r="H69" s="2">
        <v>19.263100000000001</v>
      </c>
      <c r="I69" s="2">
        <v>7310.6426000000001</v>
      </c>
      <c r="J69" s="5">
        <v>4.2486620000000004</v>
      </c>
      <c r="K69" s="2">
        <v>36.363199999999999</v>
      </c>
      <c r="L69" s="2">
        <v>2.3493330000000001</v>
      </c>
      <c r="M69" s="2">
        <v>4.5981199999999998</v>
      </c>
      <c r="N69" s="2">
        <v>87.616900000000001</v>
      </c>
      <c r="O69" s="2">
        <v>7.5397999999999996</v>
      </c>
      <c r="P69" s="2">
        <v>0.86960000000000004</v>
      </c>
      <c r="Q69" s="2">
        <v>1848.4440999999999</v>
      </c>
      <c r="R69" s="2">
        <v>1.5958000000000001</v>
      </c>
      <c r="S69" s="2">
        <v>10.98644</v>
      </c>
      <c r="T69" s="2">
        <v>13.721399999999999</v>
      </c>
      <c r="U69" s="2">
        <v>1.5278</v>
      </c>
    </row>
    <row r="70" spans="1:21" customFormat="1" x14ac:dyDescent="0.5">
      <c r="A70" s="1" t="s">
        <v>174</v>
      </c>
      <c r="B70" s="2">
        <v>3.3726910000000001</v>
      </c>
      <c r="C70" s="2">
        <v>9.4588999999999999</v>
      </c>
      <c r="D70" s="2">
        <v>3159.7710459999998</v>
      </c>
      <c r="E70" s="5">
        <v>728.94004600000005</v>
      </c>
      <c r="F70" s="2">
        <v>53.990600000000001</v>
      </c>
      <c r="G70" s="2">
        <v>9.6434999999999995</v>
      </c>
      <c r="H70" s="2">
        <v>18.905799999999999</v>
      </c>
      <c r="I70" s="2">
        <v>6872.4282000000003</v>
      </c>
      <c r="J70" s="5">
        <v>4.1589340000000004</v>
      </c>
      <c r="K70" s="2">
        <v>35.536700000000003</v>
      </c>
      <c r="L70" s="2">
        <v>2.2964030000000002</v>
      </c>
      <c r="M70" s="2">
        <v>4.4945250000000003</v>
      </c>
      <c r="N70" s="2">
        <v>85.703999999999994</v>
      </c>
      <c r="O70" s="2">
        <v>7.4</v>
      </c>
      <c r="P70" s="2">
        <v>0.85</v>
      </c>
      <c r="Q70" s="2">
        <v>1806.7991</v>
      </c>
      <c r="R70" s="2">
        <v>1.5908</v>
      </c>
      <c r="S70" s="2">
        <v>10.945067</v>
      </c>
      <c r="T70" s="2">
        <v>13.410500000000001</v>
      </c>
      <c r="U70" s="2">
        <v>1.5185999999999999</v>
      </c>
    </row>
    <row r="71" spans="1:21" customFormat="1" x14ac:dyDescent="0.5">
      <c r="A71" s="1" t="s">
        <v>175</v>
      </c>
      <c r="B71" s="2">
        <v>3.4832999999999998</v>
      </c>
      <c r="C71" s="2">
        <v>9.4929000000000006</v>
      </c>
      <c r="D71" s="2">
        <v>3265.284267</v>
      </c>
      <c r="E71" s="5">
        <v>763.37218099999996</v>
      </c>
      <c r="F71" s="2">
        <v>57.8401</v>
      </c>
      <c r="G71" s="2">
        <v>9.5866000000000007</v>
      </c>
      <c r="H71" s="2">
        <v>19.017099999999999</v>
      </c>
      <c r="I71" s="2">
        <v>6944.9862999999996</v>
      </c>
      <c r="J71" s="5">
        <v>4.1869240000000003</v>
      </c>
      <c r="K71" s="2">
        <v>35.734699999999997</v>
      </c>
      <c r="L71" s="2">
        <v>2.3005870000000002</v>
      </c>
      <c r="M71" s="2">
        <v>4.5027140000000001</v>
      </c>
      <c r="N71" s="2">
        <v>85.869799999999998</v>
      </c>
      <c r="O71" s="2">
        <v>7.5553999999999997</v>
      </c>
      <c r="P71" s="2">
        <v>0.85160000000000002</v>
      </c>
      <c r="Q71" s="2">
        <v>1810.0912000000001</v>
      </c>
      <c r="R71" s="2">
        <v>1.605</v>
      </c>
      <c r="S71" s="2">
        <v>10.942195999999999</v>
      </c>
      <c r="T71" s="2">
        <v>13.692299999999999</v>
      </c>
      <c r="U71" s="2">
        <v>1.5273000000000001</v>
      </c>
    </row>
    <row r="72" spans="1:21" customFormat="1" x14ac:dyDescent="0.5">
      <c r="A72" s="1" t="s">
        <v>176</v>
      </c>
      <c r="B72" s="2">
        <v>3.5686659999999999</v>
      </c>
      <c r="C72" s="2">
        <v>9.6111000000000004</v>
      </c>
      <c r="D72" s="2">
        <v>3297.4470350000001</v>
      </c>
      <c r="E72" s="5">
        <v>781.100775</v>
      </c>
      <c r="F72" s="2">
        <v>59.018900000000002</v>
      </c>
      <c r="G72" s="2">
        <v>9.6341999999999999</v>
      </c>
      <c r="H72" s="2">
        <v>19.303599999999999</v>
      </c>
      <c r="I72" s="2">
        <v>7197.4760999999999</v>
      </c>
      <c r="J72" s="5">
        <v>4.2204930000000003</v>
      </c>
      <c r="K72" s="2">
        <v>36.1006</v>
      </c>
      <c r="L72" s="2">
        <v>2.3257020000000002</v>
      </c>
      <c r="M72" s="2">
        <v>4.5518689999999999</v>
      </c>
      <c r="N72" s="2">
        <v>86.739199999999997</v>
      </c>
      <c r="O72" s="2">
        <v>7.5239000000000003</v>
      </c>
      <c r="P72" s="2">
        <v>0.8609</v>
      </c>
      <c r="Q72" s="2">
        <v>1829.8514</v>
      </c>
      <c r="R72" s="2">
        <v>1.6013999999999999</v>
      </c>
      <c r="S72" s="2">
        <v>10.962115000000001</v>
      </c>
      <c r="T72" s="2">
        <v>13.644</v>
      </c>
      <c r="U72" s="2">
        <v>1.5330999999999999</v>
      </c>
    </row>
    <row r="73" spans="1:21" customFormat="1" x14ac:dyDescent="0.5">
      <c r="A73" s="1" t="s">
        <v>177</v>
      </c>
      <c r="B73" s="2">
        <v>3.6306959999999999</v>
      </c>
      <c r="C73" s="2">
        <v>9.7293000000000003</v>
      </c>
      <c r="D73" s="2">
        <v>3255.7405229999999</v>
      </c>
      <c r="E73" s="5">
        <v>775.68096800000001</v>
      </c>
      <c r="F73" s="2">
        <v>55.7851</v>
      </c>
      <c r="G73" s="2">
        <v>9.6838999999999995</v>
      </c>
      <c r="H73" s="2">
        <v>19.5837</v>
      </c>
      <c r="I73" s="2">
        <v>7248.7578000000003</v>
      </c>
      <c r="J73" s="5">
        <v>4.2206840000000003</v>
      </c>
      <c r="K73" s="2">
        <v>36.137700000000002</v>
      </c>
      <c r="L73" s="2">
        <v>2.350139</v>
      </c>
      <c r="M73" s="2">
        <v>4.5996990000000002</v>
      </c>
      <c r="N73" s="2">
        <v>88.051699999999997</v>
      </c>
      <c r="O73" s="2">
        <v>7.4606000000000003</v>
      </c>
      <c r="P73" s="2">
        <v>0.86990000000000001</v>
      </c>
      <c r="Q73" s="2">
        <v>1849.079</v>
      </c>
      <c r="R73" s="2">
        <v>1.5967</v>
      </c>
      <c r="S73" s="2">
        <v>10.981628000000001</v>
      </c>
      <c r="T73" s="2">
        <v>13.5138</v>
      </c>
      <c r="U73" s="2">
        <v>1.5394000000000001</v>
      </c>
    </row>
    <row r="74" spans="1:21" customFormat="1" x14ac:dyDescent="0.5">
      <c r="A74" s="1" t="s">
        <v>178</v>
      </c>
      <c r="B74" s="2">
        <v>3.644263</v>
      </c>
      <c r="C74" s="2">
        <v>9.6859999999999999</v>
      </c>
      <c r="D74" s="2">
        <v>3164.0314790000002</v>
      </c>
      <c r="E74" s="5">
        <v>774.30546800000002</v>
      </c>
      <c r="F74" s="2">
        <v>50.991700000000002</v>
      </c>
      <c r="G74" s="2">
        <v>9.6311999999999998</v>
      </c>
      <c r="H74" s="2">
        <v>19.5229</v>
      </c>
      <c r="I74" s="2">
        <v>7199.0331999999999</v>
      </c>
      <c r="J74" s="5">
        <v>4.1349539999999996</v>
      </c>
      <c r="K74" s="2">
        <v>35.171500000000002</v>
      </c>
      <c r="L74" s="2">
        <v>2.332913</v>
      </c>
      <c r="M74" s="2">
        <v>4.5659830000000001</v>
      </c>
      <c r="N74" s="2">
        <v>88.416899999999998</v>
      </c>
      <c r="O74" s="2">
        <v>7.5221</v>
      </c>
      <c r="P74" s="2">
        <v>0.86350000000000005</v>
      </c>
      <c r="Q74" s="2">
        <v>1835.5251000000001</v>
      </c>
      <c r="R74" s="2">
        <v>1.6020000000000001</v>
      </c>
      <c r="S74" s="2">
        <v>10.981493</v>
      </c>
      <c r="T74" s="2">
        <v>13.5946</v>
      </c>
      <c r="U74" s="2">
        <v>1.5366</v>
      </c>
    </row>
    <row r="75" spans="1:21" customFormat="1" x14ac:dyDescent="0.5">
      <c r="A75" s="1" t="s">
        <v>179</v>
      </c>
      <c r="B75" s="2">
        <v>3.6335790000000001</v>
      </c>
      <c r="C75" s="2">
        <v>9.7523</v>
      </c>
      <c r="D75" s="2">
        <v>3118.1825779999999</v>
      </c>
      <c r="E75" s="5">
        <v>753.28956500000004</v>
      </c>
      <c r="F75" s="2">
        <v>45.791200000000003</v>
      </c>
      <c r="G75" s="2">
        <v>9.6509</v>
      </c>
      <c r="H75" s="2">
        <v>19.669499999999999</v>
      </c>
      <c r="I75" s="2">
        <v>7238.5688</v>
      </c>
      <c r="J75" s="5">
        <v>4.1027430000000003</v>
      </c>
      <c r="K75" s="2">
        <v>34.151200000000003</v>
      </c>
      <c r="L75" s="2">
        <v>2.3409339999999998</v>
      </c>
      <c r="M75" s="2">
        <v>4.5816819999999998</v>
      </c>
      <c r="N75" s="2">
        <v>88.697699999999998</v>
      </c>
      <c r="O75" s="2">
        <v>7.7295999999999996</v>
      </c>
      <c r="P75" s="2">
        <v>0.86650000000000005</v>
      </c>
      <c r="Q75" s="2">
        <v>1841.8361</v>
      </c>
      <c r="R75" s="2">
        <v>1.6328</v>
      </c>
      <c r="S75" s="2">
        <v>10.987484</v>
      </c>
      <c r="T75" s="2">
        <v>13.9291</v>
      </c>
      <c r="U75" s="2">
        <v>1.5456000000000001</v>
      </c>
    </row>
    <row r="76" spans="1:21" customFormat="1" x14ac:dyDescent="0.5">
      <c r="A76" s="1" t="s">
        <v>180</v>
      </c>
      <c r="B76" s="2">
        <v>3.6832029999999998</v>
      </c>
      <c r="C76" s="2">
        <v>10.000500000000001</v>
      </c>
      <c r="D76" s="2">
        <v>3223.208216</v>
      </c>
      <c r="E76" s="5">
        <v>758.47251400000005</v>
      </c>
      <c r="F76" s="2">
        <v>41.459400000000002</v>
      </c>
      <c r="G76" s="2">
        <v>9.7794000000000008</v>
      </c>
      <c r="H76" s="2">
        <v>20.189499999999999</v>
      </c>
      <c r="I76" s="2">
        <v>7503.1674999999996</v>
      </c>
      <c r="J76" s="5">
        <v>4.147818</v>
      </c>
      <c r="K76" s="2">
        <v>33.941899999999997</v>
      </c>
      <c r="L76" s="2">
        <v>2.3930199999999999</v>
      </c>
      <c r="M76" s="2">
        <v>4.6836250000000001</v>
      </c>
      <c r="N76" s="2">
        <v>91.163300000000007</v>
      </c>
      <c r="O76" s="2">
        <v>7.9390000000000001</v>
      </c>
      <c r="P76" s="2">
        <v>0.88580000000000003</v>
      </c>
      <c r="Q76" s="2">
        <v>1882.8172999999999</v>
      </c>
      <c r="R76" s="2">
        <v>1.6414</v>
      </c>
      <c r="S76" s="2">
        <v>11.030874000000001</v>
      </c>
      <c r="T76" s="2">
        <v>14.2973</v>
      </c>
      <c r="U76" s="2">
        <v>1.5662</v>
      </c>
    </row>
    <row r="77" spans="1:21" customFormat="1" x14ac:dyDescent="0.5">
      <c r="A77" s="1" t="s">
        <v>181</v>
      </c>
      <c r="B77" s="2">
        <v>3.8116660000000002</v>
      </c>
      <c r="C77" s="2">
        <v>10.4282</v>
      </c>
      <c r="D77" s="2">
        <v>3287.074764</v>
      </c>
      <c r="E77" s="5">
        <v>775.22061299999996</v>
      </c>
      <c r="F77" s="2">
        <v>39.371600000000001</v>
      </c>
      <c r="G77" s="2">
        <v>10.091699999999999</v>
      </c>
      <c r="H77" s="2">
        <v>21.085000000000001</v>
      </c>
      <c r="I77" s="2">
        <v>7937.4629000000004</v>
      </c>
      <c r="J77" s="5">
        <v>4.300141</v>
      </c>
      <c r="K77" s="2">
        <v>34.624600000000001</v>
      </c>
      <c r="L77" s="2">
        <v>2.4891450000000002</v>
      </c>
      <c r="M77" s="2">
        <v>4.8717610000000002</v>
      </c>
      <c r="N77" s="2">
        <v>94.878500000000003</v>
      </c>
      <c r="O77" s="2">
        <v>8.2760999999999996</v>
      </c>
      <c r="P77" s="2">
        <v>0.9214</v>
      </c>
      <c r="Q77" s="2">
        <v>1958.4481000000001</v>
      </c>
      <c r="R77" s="2">
        <v>1.6722999999999999</v>
      </c>
      <c r="S77" s="2">
        <v>11.115411</v>
      </c>
      <c r="T77" s="2">
        <v>14.9236</v>
      </c>
      <c r="U77" s="2">
        <v>1.5952999999999999</v>
      </c>
    </row>
    <row r="78" spans="1:21" customFormat="1" x14ac:dyDescent="0.5">
      <c r="A78" s="1" t="s">
        <v>182</v>
      </c>
      <c r="B78" s="2">
        <v>3.956585</v>
      </c>
      <c r="C78" s="2">
        <v>10.7797</v>
      </c>
      <c r="D78" s="2">
        <v>3240.5116560000001</v>
      </c>
      <c r="E78" s="5">
        <v>772.506167</v>
      </c>
      <c r="F78" s="2">
        <v>39.927900000000001</v>
      </c>
      <c r="G78" s="2">
        <v>10.4244</v>
      </c>
      <c r="H78" s="2">
        <v>21.8504</v>
      </c>
      <c r="I78" s="2">
        <v>8307.2196999999996</v>
      </c>
      <c r="J78" s="5">
        <v>4.3990359999999997</v>
      </c>
      <c r="K78" s="2">
        <v>35.638800000000003</v>
      </c>
      <c r="L78" s="2">
        <v>2.5688979999999999</v>
      </c>
      <c r="M78" s="2">
        <v>5.0278530000000003</v>
      </c>
      <c r="N78" s="2">
        <v>97.447800000000001</v>
      </c>
      <c r="O78" s="2">
        <v>8.3510000000000009</v>
      </c>
      <c r="P78" s="2">
        <v>0.95089999999999997</v>
      </c>
      <c r="Q78" s="2">
        <v>2021.1969999999999</v>
      </c>
      <c r="R78" s="2">
        <v>1.6941999999999999</v>
      </c>
      <c r="S78" s="2">
        <v>11.179264</v>
      </c>
      <c r="T78" s="2">
        <v>15.2896</v>
      </c>
      <c r="U78" s="2">
        <v>1.6236999999999999</v>
      </c>
    </row>
    <row r="79" spans="1:21" customFormat="1" x14ac:dyDescent="0.5">
      <c r="A79" s="1" t="s">
        <v>183</v>
      </c>
      <c r="B79" s="2">
        <v>3.8373910000000002</v>
      </c>
      <c r="C79" s="2">
        <v>10.568899999999999</v>
      </c>
      <c r="D79" s="2">
        <v>3100.034686</v>
      </c>
      <c r="E79" s="5">
        <v>753.20442500000001</v>
      </c>
      <c r="F79" s="2">
        <v>39.991500000000002</v>
      </c>
      <c r="G79" s="2">
        <v>10.1845</v>
      </c>
      <c r="H79" s="2">
        <v>21.468399999999999</v>
      </c>
      <c r="I79" s="2">
        <v>8256.6221000000005</v>
      </c>
      <c r="J79" s="5">
        <v>4.287382</v>
      </c>
      <c r="K79" s="2">
        <v>33.493499999999997</v>
      </c>
      <c r="L79" s="2">
        <v>2.513655</v>
      </c>
      <c r="M79" s="2">
        <v>4.9197319999999998</v>
      </c>
      <c r="N79" s="2">
        <v>95.3352</v>
      </c>
      <c r="O79" s="2">
        <v>7.5746000000000002</v>
      </c>
      <c r="P79" s="2">
        <v>0.9304</v>
      </c>
      <c r="Q79" s="2">
        <v>1977.7322999999999</v>
      </c>
      <c r="R79" s="2">
        <v>1.6520999999999999</v>
      </c>
      <c r="S79" s="2">
        <v>11.122529999999999</v>
      </c>
      <c r="T79" s="2">
        <v>14.6318</v>
      </c>
      <c r="U79" s="2">
        <v>1.6124000000000001</v>
      </c>
    </row>
    <row r="80" spans="1:21" customFormat="1" x14ac:dyDescent="0.5">
      <c r="A80" s="1" t="s">
        <v>184</v>
      </c>
      <c r="B80" s="2">
        <v>3.7715299999999998</v>
      </c>
      <c r="C80" s="2">
        <v>10.4947</v>
      </c>
      <c r="D80" s="2">
        <v>3045.972186</v>
      </c>
      <c r="E80" s="5">
        <v>746.47137399999997</v>
      </c>
      <c r="F80" s="2">
        <v>38.260599999999997</v>
      </c>
      <c r="G80" s="2">
        <v>10.043100000000001</v>
      </c>
      <c r="H80" s="2">
        <v>21.3811</v>
      </c>
      <c r="I80" s="2">
        <v>8227.0889000000006</v>
      </c>
      <c r="J80" s="5">
        <v>4.2413439999999998</v>
      </c>
      <c r="K80" s="2">
        <v>32.445799999999998</v>
      </c>
      <c r="L80" s="2">
        <v>2.4935299999999998</v>
      </c>
      <c r="M80" s="2">
        <v>4.880344</v>
      </c>
      <c r="N80" s="2">
        <v>94.712500000000006</v>
      </c>
      <c r="O80" s="2">
        <v>7.6692</v>
      </c>
      <c r="P80" s="2">
        <v>0.92300000000000004</v>
      </c>
      <c r="Q80" s="2">
        <v>1961.8982000000001</v>
      </c>
      <c r="R80" s="2">
        <v>1.6718</v>
      </c>
      <c r="S80" s="2">
        <v>11.108964</v>
      </c>
      <c r="T80" s="2">
        <v>14.881</v>
      </c>
      <c r="U80" s="2">
        <v>1.6099000000000001</v>
      </c>
    </row>
    <row r="81" spans="1:21" customFormat="1" x14ac:dyDescent="0.5">
      <c r="A81" s="1" t="s">
        <v>185</v>
      </c>
      <c r="B81" s="2">
        <v>3.8361139999999998</v>
      </c>
      <c r="C81" s="2">
        <v>10.668799999999999</v>
      </c>
      <c r="D81" s="2">
        <v>3107.0540620000002</v>
      </c>
      <c r="E81" s="5">
        <v>774.19267300000001</v>
      </c>
      <c r="F81" s="2">
        <v>37.860799999999998</v>
      </c>
      <c r="G81" s="2">
        <v>10.052300000000001</v>
      </c>
      <c r="H81" s="2">
        <v>21.773199999999999</v>
      </c>
      <c r="I81" s="2">
        <v>8292.1309000000001</v>
      </c>
      <c r="J81" s="5">
        <v>4.3020969999999998</v>
      </c>
      <c r="K81" s="2">
        <v>33.701300000000003</v>
      </c>
      <c r="L81" s="2">
        <v>2.5292479999999999</v>
      </c>
      <c r="M81" s="2">
        <v>4.9502499999999996</v>
      </c>
      <c r="N81" s="2">
        <v>95.615099999999998</v>
      </c>
      <c r="O81" s="2">
        <v>7.5035999999999996</v>
      </c>
      <c r="P81" s="2">
        <v>0.93620000000000003</v>
      </c>
      <c r="Q81" s="2">
        <v>1990.0005000000001</v>
      </c>
      <c r="R81" s="2">
        <v>1.6577999999999999</v>
      </c>
      <c r="S81" s="2">
        <v>11.142683</v>
      </c>
      <c r="T81" s="2">
        <v>14.552099999999999</v>
      </c>
      <c r="U81" s="2">
        <v>1.629</v>
      </c>
    </row>
    <row r="82" spans="1:21" customFormat="1" x14ac:dyDescent="0.5">
      <c r="A82" s="1" t="s">
        <v>186</v>
      </c>
      <c r="B82" s="2">
        <v>3.7274099999999999</v>
      </c>
      <c r="C82" s="2">
        <v>10.466799999999999</v>
      </c>
      <c r="D82" s="2">
        <v>3040.4205700000002</v>
      </c>
      <c r="E82" s="5">
        <v>750.99364800000001</v>
      </c>
      <c r="F82" s="2">
        <v>37.124000000000002</v>
      </c>
      <c r="G82" s="2">
        <v>9.8406000000000002</v>
      </c>
      <c r="H82" s="2">
        <v>21.426500000000001</v>
      </c>
      <c r="I82" s="2">
        <v>8127.3325000000004</v>
      </c>
      <c r="J82" s="5">
        <v>4.2151690000000004</v>
      </c>
      <c r="K82" s="2">
        <v>32.617800000000003</v>
      </c>
      <c r="L82" s="2">
        <v>2.7751809999999999</v>
      </c>
      <c r="M82" s="2">
        <v>4.8517140000000003</v>
      </c>
      <c r="N82" s="2">
        <v>94.3523</v>
      </c>
      <c r="O82" s="2">
        <v>7.4969000000000001</v>
      </c>
      <c r="P82" s="2">
        <v>0.91759999999999997</v>
      </c>
      <c r="Q82" s="2">
        <v>1950.3892000000001</v>
      </c>
      <c r="R82" s="2">
        <v>1.6506000000000001</v>
      </c>
      <c r="S82" s="2">
        <v>11.116248000000001</v>
      </c>
      <c r="T82" s="2">
        <v>14.5442</v>
      </c>
      <c r="U82" s="2">
        <v>1.6197999999999999</v>
      </c>
    </row>
    <row r="83" spans="1:21" customFormat="1" x14ac:dyDescent="0.5">
      <c r="A83" s="1" t="s">
        <v>187</v>
      </c>
      <c r="B83" s="2">
        <v>3.6431650000000002</v>
      </c>
      <c r="C83" s="2">
        <v>10.269399999999999</v>
      </c>
      <c r="D83" s="2">
        <v>2969.3951980000002</v>
      </c>
      <c r="E83" s="5">
        <v>734.10408199999995</v>
      </c>
      <c r="F83" s="2">
        <v>36.816299999999998</v>
      </c>
      <c r="G83" s="2">
        <v>9.6385000000000005</v>
      </c>
      <c r="H83" s="2">
        <v>21.108799999999999</v>
      </c>
      <c r="I83" s="2">
        <v>7940.5762000000004</v>
      </c>
      <c r="J83" s="5">
        <v>4.1318820000000001</v>
      </c>
      <c r="K83" s="2">
        <v>31.0824</v>
      </c>
      <c r="L83" s="2">
        <v>2.7228530000000002</v>
      </c>
      <c r="M83" s="2">
        <v>4.7602330000000004</v>
      </c>
      <c r="N83" s="2">
        <v>93.231999999999999</v>
      </c>
      <c r="O83" s="2">
        <v>7.1372</v>
      </c>
      <c r="P83" s="2">
        <v>0.90029999999999999</v>
      </c>
      <c r="Q83" s="2">
        <v>1913.6135999999999</v>
      </c>
      <c r="R83" s="2">
        <v>1.6161000000000001</v>
      </c>
      <c r="S83" s="2">
        <v>11.074206</v>
      </c>
      <c r="T83" s="2">
        <v>13.8415</v>
      </c>
      <c r="U83" s="2">
        <v>1.6121000000000001</v>
      </c>
    </row>
    <row r="84" spans="1:21" customFormat="1" x14ac:dyDescent="0.5">
      <c r="A84" s="1" t="s">
        <v>188</v>
      </c>
      <c r="B84" s="2">
        <v>3.4840300000000002</v>
      </c>
      <c r="C84" s="2">
        <v>9.8414000000000001</v>
      </c>
      <c r="D84" s="2">
        <v>2831.370414</v>
      </c>
      <c r="E84" s="5">
        <v>712.21889699999997</v>
      </c>
      <c r="F84" s="2">
        <v>35.460700000000003</v>
      </c>
      <c r="G84" s="2">
        <v>9.2623999999999995</v>
      </c>
      <c r="H84" s="2">
        <v>20.311699999999998</v>
      </c>
      <c r="I84" s="2">
        <v>7466.6992</v>
      </c>
      <c r="J84" s="5">
        <v>3.9572449999999999</v>
      </c>
      <c r="K84" s="2">
        <v>29.4999</v>
      </c>
      <c r="L84" s="2">
        <v>2.6093730000000002</v>
      </c>
      <c r="M84" s="2">
        <v>4.555758</v>
      </c>
      <c r="N84" s="2">
        <v>89.930300000000003</v>
      </c>
      <c r="O84" s="2">
        <v>6.9880000000000004</v>
      </c>
      <c r="P84" s="2">
        <v>0.86280000000000001</v>
      </c>
      <c r="Q84" s="2">
        <v>1833.86</v>
      </c>
      <c r="R84" s="2">
        <v>1.6036999999999999</v>
      </c>
      <c r="S84" s="2">
        <v>10.982480000000001</v>
      </c>
      <c r="T84" s="2">
        <v>13.5733</v>
      </c>
      <c r="U84" s="2">
        <v>1.5960000000000001</v>
      </c>
    </row>
    <row r="85" spans="1:21" customFormat="1" x14ac:dyDescent="0.5">
      <c r="A85" s="1" t="s">
        <v>189</v>
      </c>
      <c r="B85" s="2">
        <v>3.430599</v>
      </c>
      <c r="C85" s="2">
        <v>9.7248000000000001</v>
      </c>
      <c r="D85" s="2">
        <v>2797.8042409999998</v>
      </c>
      <c r="E85" s="5">
        <v>693.06533999999999</v>
      </c>
      <c r="F85" s="2">
        <v>35.025799999999997</v>
      </c>
      <c r="G85" s="2">
        <v>9.1349999999999998</v>
      </c>
      <c r="H85" s="2">
        <v>20.180299999999999</v>
      </c>
      <c r="I85" s="2">
        <v>7264.9258</v>
      </c>
      <c r="J85" s="5">
        <v>3.9144939999999999</v>
      </c>
      <c r="K85" s="2">
        <v>29.6235</v>
      </c>
      <c r="L85" s="2">
        <v>2.5819770000000002</v>
      </c>
      <c r="M85" s="2">
        <v>4.5079279999999997</v>
      </c>
      <c r="N85" s="2">
        <v>88.100200000000001</v>
      </c>
      <c r="O85" s="2">
        <v>6.9703999999999997</v>
      </c>
      <c r="P85" s="2">
        <v>0.85370000000000001</v>
      </c>
      <c r="Q85" s="2">
        <v>1814.6063999999999</v>
      </c>
      <c r="R85" s="2">
        <v>1.6103000000000001</v>
      </c>
      <c r="S85" s="2">
        <v>10.953843000000001</v>
      </c>
      <c r="T85" s="2">
        <v>13.574400000000001</v>
      </c>
      <c r="U85" s="2">
        <v>1.6021000000000001</v>
      </c>
    </row>
    <row r="86" spans="1:21" customFormat="1" x14ac:dyDescent="0.5">
      <c r="A86" s="1" t="s">
        <v>190</v>
      </c>
      <c r="B86" s="2">
        <v>3.5254699999999999</v>
      </c>
      <c r="C86" s="2">
        <v>9.9077000000000002</v>
      </c>
      <c r="D86" s="2">
        <v>2834.6477650000002</v>
      </c>
      <c r="E86" s="5">
        <v>671.91675999999995</v>
      </c>
      <c r="F86" s="2">
        <v>35.923400000000001</v>
      </c>
      <c r="G86" s="2">
        <v>9.3262999999999998</v>
      </c>
      <c r="H86" s="2">
        <v>20.693100000000001</v>
      </c>
      <c r="I86" s="2">
        <v>7398.8163999999997</v>
      </c>
      <c r="J86" s="5">
        <v>4.0036459999999998</v>
      </c>
      <c r="K86" s="2">
        <v>29.9222</v>
      </c>
      <c r="L86" s="2">
        <v>2.636727</v>
      </c>
      <c r="M86" s="2">
        <v>4.6035170000000001</v>
      </c>
      <c r="N86" s="2">
        <v>90.552199999999999</v>
      </c>
      <c r="O86" s="2">
        <v>7.0285000000000002</v>
      </c>
      <c r="P86" s="2">
        <v>0.87180000000000002</v>
      </c>
      <c r="Q86" s="2">
        <v>1853.0845999999999</v>
      </c>
      <c r="R86" s="2">
        <v>1.6155999999999999</v>
      </c>
      <c r="S86" s="2">
        <v>10.998041000000001</v>
      </c>
      <c r="T86" s="2">
        <v>13.692299999999999</v>
      </c>
      <c r="U86" s="2">
        <v>1.6152</v>
      </c>
    </row>
    <row r="87" spans="1:21" customFormat="1" x14ac:dyDescent="0.5">
      <c r="A87" s="1" t="s">
        <v>191</v>
      </c>
      <c r="B87" s="2">
        <v>3.5445530000000001</v>
      </c>
      <c r="C87" s="2">
        <v>9.8712999999999997</v>
      </c>
      <c r="D87" s="2">
        <v>2812.257603</v>
      </c>
      <c r="E87" s="5">
        <v>657.80149100000006</v>
      </c>
      <c r="F87" s="2">
        <v>38.058599999999998</v>
      </c>
      <c r="G87" s="2">
        <v>9.3430999999999997</v>
      </c>
      <c r="H87" s="2">
        <v>20.716999999999999</v>
      </c>
      <c r="I87" s="2">
        <v>7503.4345999999996</v>
      </c>
      <c r="J87" s="5">
        <v>4.0544200000000004</v>
      </c>
      <c r="K87" s="2">
        <v>29.526900000000001</v>
      </c>
      <c r="L87" s="2">
        <v>2.629</v>
      </c>
      <c r="M87" s="2">
        <v>4.5900249999999998</v>
      </c>
      <c r="N87" s="2">
        <v>89.834599999999995</v>
      </c>
      <c r="O87" s="2">
        <v>6.9265999999999996</v>
      </c>
      <c r="P87" s="2">
        <v>0.86919999999999997</v>
      </c>
      <c r="Q87" s="2">
        <v>1847.6537000000001</v>
      </c>
      <c r="R87" s="2">
        <v>1.6055999999999999</v>
      </c>
      <c r="S87" s="2">
        <v>10.991548</v>
      </c>
      <c r="T87" s="2">
        <v>13.517099999999999</v>
      </c>
      <c r="U87" s="2">
        <v>1.6177999999999999</v>
      </c>
    </row>
    <row r="88" spans="1:21" customFormat="1" x14ac:dyDescent="0.5">
      <c r="A88" s="1" t="s">
        <v>192</v>
      </c>
      <c r="B88" s="2">
        <v>3.5418820000000002</v>
      </c>
      <c r="C88" s="2">
        <v>9.6692999999999998</v>
      </c>
      <c r="D88" s="2">
        <v>2754.3897149999998</v>
      </c>
      <c r="E88" s="5">
        <v>643.37774999999999</v>
      </c>
      <c r="F88" s="2">
        <v>39.491700000000002</v>
      </c>
      <c r="G88" s="2">
        <v>9.2260000000000009</v>
      </c>
      <c r="H88" s="2">
        <v>20.391100000000002</v>
      </c>
      <c r="I88" s="2">
        <v>7364.6025</v>
      </c>
      <c r="J88" s="5">
        <v>4.0621109999999998</v>
      </c>
      <c r="K88" s="2">
        <v>28.3447</v>
      </c>
      <c r="L88" s="2">
        <v>2.577115</v>
      </c>
      <c r="M88" s="2">
        <v>4.4994389999999997</v>
      </c>
      <c r="N88" s="2">
        <v>88.206999999999994</v>
      </c>
      <c r="O88" s="2">
        <v>6.9156000000000004</v>
      </c>
      <c r="P88" s="2">
        <v>0.85209999999999997</v>
      </c>
      <c r="Q88" s="2">
        <v>1811.1895</v>
      </c>
      <c r="R88" s="2">
        <v>1.6073999999999999</v>
      </c>
      <c r="S88" s="2">
        <v>10.946433000000001</v>
      </c>
      <c r="T88" s="2">
        <v>13.495799999999999</v>
      </c>
      <c r="U88" s="2">
        <v>1.6111</v>
      </c>
    </row>
    <row r="89" spans="1:21" customFormat="1" x14ac:dyDescent="0.5">
      <c r="A89" s="1" t="s">
        <v>193</v>
      </c>
      <c r="B89" s="2">
        <v>3.4720749999999998</v>
      </c>
      <c r="C89" s="2">
        <v>9.4756999999999998</v>
      </c>
      <c r="D89" s="2">
        <v>2686.9691469999998</v>
      </c>
      <c r="E89" s="5">
        <v>624.50212199999999</v>
      </c>
      <c r="F89" s="2">
        <v>39.725000000000001</v>
      </c>
      <c r="G89" s="2">
        <v>8.9712999999999994</v>
      </c>
      <c r="H89" s="2">
        <v>20.0852</v>
      </c>
      <c r="I89" s="2">
        <v>7231.9579999999996</v>
      </c>
      <c r="J89" s="5">
        <v>3.9788610000000002</v>
      </c>
      <c r="K89" s="2">
        <v>27.7212</v>
      </c>
      <c r="L89" s="2">
        <v>2.528038</v>
      </c>
      <c r="M89" s="2">
        <v>4.4137550000000001</v>
      </c>
      <c r="N89" s="2">
        <v>87.283900000000003</v>
      </c>
      <c r="O89" s="2">
        <v>6.7694999999999999</v>
      </c>
      <c r="P89" s="2">
        <v>0.83589999999999998</v>
      </c>
      <c r="Q89" s="2">
        <v>1776.6984</v>
      </c>
      <c r="R89" s="2">
        <v>1.5969</v>
      </c>
      <c r="S89" s="2">
        <v>10.898262000000001</v>
      </c>
      <c r="T89" s="2">
        <v>13.210699999999999</v>
      </c>
      <c r="U89" s="2">
        <v>1.6157999999999999</v>
      </c>
    </row>
    <row r="90" spans="1:21" customFormat="1" x14ac:dyDescent="0.5">
      <c r="A90" s="1" t="s">
        <v>194</v>
      </c>
      <c r="B90" s="2">
        <v>3.5508999999999999</v>
      </c>
      <c r="C90" s="2">
        <v>9.5322999999999993</v>
      </c>
      <c r="D90" s="2">
        <v>2701.8972960000001</v>
      </c>
      <c r="E90" s="5">
        <v>609.79456700000003</v>
      </c>
      <c r="F90" s="2">
        <v>39.783099999999997</v>
      </c>
      <c r="G90" s="2">
        <v>9.0249000000000006</v>
      </c>
      <c r="H90" s="2">
        <v>20.286999999999999</v>
      </c>
      <c r="I90" s="2">
        <v>7257.4712</v>
      </c>
      <c r="J90" s="5">
        <v>4.0595270000000001</v>
      </c>
      <c r="K90" s="2">
        <v>28.040800000000001</v>
      </c>
      <c r="L90" s="2">
        <v>2.5431319999999999</v>
      </c>
      <c r="M90" s="2">
        <v>4.4401080000000004</v>
      </c>
      <c r="N90" s="2">
        <v>87.1601</v>
      </c>
      <c r="O90" s="2">
        <v>6.7619999999999996</v>
      </c>
      <c r="P90" s="2">
        <v>0.84089999999999998</v>
      </c>
      <c r="Q90" s="2">
        <v>1787.3063999999999</v>
      </c>
      <c r="R90" s="2">
        <v>1.5942000000000001</v>
      </c>
      <c r="S90" s="2">
        <v>10.918278000000001</v>
      </c>
      <c r="T90" s="2">
        <v>13.242100000000001</v>
      </c>
      <c r="U90" s="2">
        <v>1.6112</v>
      </c>
    </row>
    <row r="91" spans="1:21" customFormat="1" x14ac:dyDescent="0.5">
      <c r="A91" s="1" t="s">
        <v>195</v>
      </c>
      <c r="B91" s="2">
        <v>3.6636190000000002</v>
      </c>
      <c r="C91" s="2">
        <v>9.7309000000000001</v>
      </c>
      <c r="D91" s="2">
        <v>2751.8415960000002</v>
      </c>
      <c r="E91" s="5">
        <v>634.78527199999996</v>
      </c>
      <c r="F91" s="2">
        <v>42.264099999999999</v>
      </c>
      <c r="G91" s="2">
        <v>9.2249999999999996</v>
      </c>
      <c r="H91" s="2">
        <v>20.7956</v>
      </c>
      <c r="I91" s="2">
        <v>7428.1787000000004</v>
      </c>
      <c r="J91" s="5">
        <v>4.1065940000000003</v>
      </c>
      <c r="K91" s="2">
        <v>29.2714</v>
      </c>
      <c r="L91" s="2">
        <v>2.596123</v>
      </c>
      <c r="M91" s="2">
        <v>4.5326240000000002</v>
      </c>
      <c r="N91" s="2">
        <v>88.443700000000007</v>
      </c>
      <c r="O91" s="2">
        <v>6.9375999999999998</v>
      </c>
      <c r="P91" s="2">
        <v>0.85840000000000005</v>
      </c>
      <c r="Q91" s="2">
        <v>1824.5479</v>
      </c>
      <c r="R91" s="2">
        <v>1.6201000000000001</v>
      </c>
      <c r="S91" s="2">
        <v>10.960599999999999</v>
      </c>
      <c r="T91" s="2">
        <v>13.602499999999999</v>
      </c>
      <c r="U91" s="2">
        <v>1.6194</v>
      </c>
    </row>
    <row r="92" spans="1:21" customFormat="1" x14ac:dyDescent="0.5">
      <c r="A92" s="1" t="s">
        <v>196</v>
      </c>
      <c r="B92" s="2">
        <v>3.641197</v>
      </c>
      <c r="C92" s="2">
        <v>9.5913000000000004</v>
      </c>
      <c r="D92" s="2">
        <v>2693.5782690000001</v>
      </c>
      <c r="E92" s="5">
        <v>627.59907399999997</v>
      </c>
      <c r="F92" s="2">
        <v>41.176600000000001</v>
      </c>
      <c r="G92" s="2">
        <v>9.0827000000000009</v>
      </c>
      <c r="H92" s="2">
        <v>20.593699999999998</v>
      </c>
      <c r="I92" s="2">
        <v>7239.0576000000001</v>
      </c>
      <c r="J92" s="5">
        <v>3.926523</v>
      </c>
      <c r="K92" s="2">
        <v>28.926600000000001</v>
      </c>
      <c r="L92" s="2">
        <v>2.5607760000000002</v>
      </c>
      <c r="M92" s="2">
        <v>4.4709120000000002</v>
      </c>
      <c r="N92" s="2">
        <v>87.410200000000003</v>
      </c>
      <c r="O92" s="2">
        <v>6.8019999999999996</v>
      </c>
      <c r="P92" s="2">
        <v>0.84670000000000001</v>
      </c>
      <c r="Q92" s="2">
        <v>1799.7063000000001</v>
      </c>
      <c r="R92" s="2">
        <v>1.5983000000000001</v>
      </c>
      <c r="S92" s="2">
        <v>10.935529000000001</v>
      </c>
      <c r="T92" s="2">
        <v>13.329700000000001</v>
      </c>
      <c r="U92" s="2">
        <v>1.6367</v>
      </c>
    </row>
    <row r="93" spans="1:21" customFormat="1" x14ac:dyDescent="0.5">
      <c r="A93" s="1" t="s">
        <v>197</v>
      </c>
      <c r="B93" s="2">
        <v>3.6745139999999998</v>
      </c>
      <c r="C93" s="2">
        <v>9.6435999999999993</v>
      </c>
      <c r="D93" s="2">
        <v>2719.3568489999998</v>
      </c>
      <c r="E93" s="5">
        <v>635.58156299999996</v>
      </c>
      <c r="F93" s="2">
        <v>39.603499999999997</v>
      </c>
      <c r="G93" s="2">
        <v>9.1568000000000005</v>
      </c>
      <c r="H93" s="2">
        <v>20.816199999999998</v>
      </c>
      <c r="I93" s="2">
        <v>7089.3959999999997</v>
      </c>
      <c r="J93" s="5">
        <v>4.0134780000000001</v>
      </c>
      <c r="K93" s="2">
        <v>29.172499999999999</v>
      </c>
      <c r="L93" s="2">
        <v>2.57829</v>
      </c>
      <c r="M93" s="2">
        <v>4.5014900000000004</v>
      </c>
      <c r="N93" s="2">
        <v>88.974400000000003</v>
      </c>
      <c r="O93" s="2">
        <v>6.9440999999999997</v>
      </c>
      <c r="P93" s="2">
        <v>0.85250000000000004</v>
      </c>
      <c r="Q93" s="2">
        <v>1812.0150000000001</v>
      </c>
      <c r="R93" s="2">
        <v>1.6225000000000001</v>
      </c>
      <c r="S93" s="2">
        <v>10.947816</v>
      </c>
      <c r="T93" s="2">
        <v>13.5867</v>
      </c>
      <c r="U93" s="2">
        <v>1.6311</v>
      </c>
    </row>
    <row r="94" spans="1:21" customFormat="1" x14ac:dyDescent="0.5">
      <c r="A94" s="1" t="s">
        <v>198</v>
      </c>
      <c r="B94" s="2">
        <v>3.737797</v>
      </c>
      <c r="C94" s="2">
        <v>9.8401999999999994</v>
      </c>
      <c r="D94" s="2">
        <v>2889.3076070000002</v>
      </c>
      <c r="E94" s="5">
        <v>634.82428600000003</v>
      </c>
      <c r="F94" s="2">
        <v>39.772100000000002</v>
      </c>
      <c r="G94" s="2">
        <v>9.3175000000000008</v>
      </c>
      <c r="H94" s="2">
        <v>21.3383</v>
      </c>
      <c r="I94" s="2">
        <v>7138.2602999999999</v>
      </c>
      <c r="J94" s="5">
        <v>4.0887529999999996</v>
      </c>
      <c r="K94" s="2">
        <v>29.569800000000001</v>
      </c>
      <c r="L94" s="2">
        <v>2.6321650000000001</v>
      </c>
      <c r="M94" s="2">
        <v>4.5955519999999996</v>
      </c>
      <c r="N94" s="2">
        <v>89.735399999999998</v>
      </c>
      <c r="O94" s="2">
        <v>7.2012999999999998</v>
      </c>
      <c r="P94" s="2">
        <v>0.87029999999999996</v>
      </c>
      <c r="Q94" s="2">
        <v>1849.8784000000001</v>
      </c>
      <c r="R94" s="2">
        <v>1.6474</v>
      </c>
      <c r="S94" s="2">
        <v>10.979013</v>
      </c>
      <c r="T94" s="2">
        <v>14.072800000000001</v>
      </c>
      <c r="U94" s="2">
        <v>1.6468</v>
      </c>
    </row>
    <row r="95" spans="1:21" customFormat="1" x14ac:dyDescent="0.5">
      <c r="A95" s="1" t="s">
        <v>199</v>
      </c>
      <c r="B95" s="2">
        <v>3.8755709999999999</v>
      </c>
      <c r="C95" s="2">
        <v>10.228400000000001</v>
      </c>
      <c r="D95" s="2">
        <v>3061.8414419999999</v>
      </c>
      <c r="E95" s="5">
        <v>665.02749700000004</v>
      </c>
      <c r="F95" s="2">
        <v>41.894500000000001</v>
      </c>
      <c r="G95" s="2">
        <v>9.6831999999999994</v>
      </c>
      <c r="H95" s="2">
        <v>22.2957</v>
      </c>
      <c r="I95" s="2">
        <v>7179.5747000000001</v>
      </c>
      <c r="J95" s="5">
        <v>4.1884259999999998</v>
      </c>
      <c r="K95" s="2">
        <v>30.590800000000002</v>
      </c>
      <c r="L95" s="2">
        <v>2.739077</v>
      </c>
      <c r="M95" s="2">
        <v>4.7822120000000004</v>
      </c>
      <c r="N95" s="2">
        <v>92.149199999999993</v>
      </c>
      <c r="O95" s="2">
        <v>7.4081000000000001</v>
      </c>
      <c r="P95" s="2">
        <v>0.90559999999999996</v>
      </c>
      <c r="Q95" s="2">
        <v>1925.0159000000001</v>
      </c>
      <c r="R95" s="2">
        <v>1.6647000000000001</v>
      </c>
      <c r="S95" s="2">
        <v>11.071235</v>
      </c>
      <c r="T95" s="2">
        <v>14.4443</v>
      </c>
      <c r="U95" s="2">
        <v>1.6778999999999999</v>
      </c>
    </row>
    <row r="96" spans="1:21" customFormat="1" x14ac:dyDescent="0.5">
      <c r="A96" s="1" t="s">
        <v>200</v>
      </c>
      <c r="B96" s="2">
        <v>3.8734160000000002</v>
      </c>
      <c r="C96" s="2">
        <v>10.1326</v>
      </c>
      <c r="D96" s="2">
        <v>3227.7751880000001</v>
      </c>
      <c r="E96" s="5">
        <v>686.20946200000003</v>
      </c>
      <c r="F96" s="2">
        <v>41.712000000000003</v>
      </c>
      <c r="G96" s="2">
        <v>9.6265999999999998</v>
      </c>
      <c r="H96" s="2">
        <v>22.176600000000001</v>
      </c>
      <c r="I96" s="2">
        <v>7126.0986000000003</v>
      </c>
      <c r="J96" s="5">
        <v>4.1302099999999999</v>
      </c>
      <c r="K96" s="2">
        <v>30.209399999999999</v>
      </c>
      <c r="L96" s="2">
        <v>2.7134149999999999</v>
      </c>
      <c r="M96" s="2">
        <v>4.7374080000000003</v>
      </c>
      <c r="N96" s="2">
        <v>92.813999999999993</v>
      </c>
      <c r="O96" s="2">
        <v>7.3125</v>
      </c>
      <c r="P96" s="2">
        <v>0.8972</v>
      </c>
      <c r="Q96" s="2">
        <v>1906.9806000000001</v>
      </c>
      <c r="R96" s="2">
        <v>1.6597</v>
      </c>
      <c r="S96" s="2">
        <v>11.052265</v>
      </c>
      <c r="T96" s="2">
        <v>14.270300000000001</v>
      </c>
      <c r="U96" s="2">
        <v>1.6812</v>
      </c>
    </row>
    <row r="97" spans="1:21" customFormat="1" x14ac:dyDescent="0.5">
      <c r="A97" s="1" t="s">
        <v>201</v>
      </c>
      <c r="B97" s="2">
        <v>3.8837389999999998</v>
      </c>
      <c r="C97" s="2">
        <v>10.159599999999999</v>
      </c>
      <c r="D97" s="2">
        <v>3202.3087420000002</v>
      </c>
      <c r="E97" s="5">
        <v>685.70438100000001</v>
      </c>
      <c r="F97" s="2">
        <v>41.753399999999999</v>
      </c>
      <c r="G97" s="2">
        <v>9.6167999999999996</v>
      </c>
      <c r="H97" s="2">
        <v>22.327100000000002</v>
      </c>
      <c r="I97" s="2">
        <v>6987.4951000000001</v>
      </c>
      <c r="J97" s="5">
        <v>4.1133129999999998</v>
      </c>
      <c r="K97" s="2">
        <v>30.379899999999999</v>
      </c>
      <c r="L97" s="2">
        <v>2.7206459999999999</v>
      </c>
      <c r="M97" s="2">
        <v>4.7500330000000002</v>
      </c>
      <c r="N97" s="2">
        <v>93.030900000000003</v>
      </c>
      <c r="O97" s="2">
        <v>7.3257000000000003</v>
      </c>
      <c r="P97" s="2">
        <v>0.89959999999999996</v>
      </c>
      <c r="Q97" s="2">
        <v>1912.0626999999999</v>
      </c>
      <c r="R97" s="2">
        <v>1.6624000000000001</v>
      </c>
      <c r="S97" s="2">
        <v>11.060157</v>
      </c>
      <c r="T97" s="2">
        <v>14.331</v>
      </c>
      <c r="U97" s="2">
        <v>1.6831</v>
      </c>
    </row>
    <row r="98" spans="1:21" customFormat="1" x14ac:dyDescent="0.5">
      <c r="A98" s="1" t="s">
        <v>202</v>
      </c>
      <c r="B98" s="2">
        <v>3.9202590000000002</v>
      </c>
      <c r="C98" s="2">
        <v>10.2567</v>
      </c>
      <c r="D98" s="2">
        <v>3067.7181209999999</v>
      </c>
      <c r="E98" s="5">
        <v>689.92721100000006</v>
      </c>
      <c r="F98" s="2">
        <v>42.062100000000001</v>
      </c>
      <c r="G98" s="2">
        <v>9.7134999999999998</v>
      </c>
      <c r="H98" s="2">
        <v>22.645299999999999</v>
      </c>
      <c r="I98" s="2">
        <v>6966.1469999999999</v>
      </c>
      <c r="J98" s="5">
        <v>4.1431760000000004</v>
      </c>
      <c r="K98" s="2">
        <v>30.7151</v>
      </c>
      <c r="L98" s="2">
        <v>2.7480250000000002</v>
      </c>
      <c r="M98" s="2">
        <v>4.7978329999999998</v>
      </c>
      <c r="N98" s="2">
        <v>92.685900000000004</v>
      </c>
      <c r="O98" s="2">
        <v>7.3688000000000002</v>
      </c>
      <c r="P98" s="2">
        <v>0.90859999999999996</v>
      </c>
      <c r="Q98" s="2">
        <v>1931.3041000000001</v>
      </c>
      <c r="R98" s="2">
        <v>1.669</v>
      </c>
      <c r="S98" s="2">
        <v>11.077935</v>
      </c>
      <c r="T98" s="2">
        <v>14.4252</v>
      </c>
      <c r="U98" s="2">
        <v>1.6923999999999999</v>
      </c>
    </row>
    <row r="99" spans="1:21" customFormat="1" x14ac:dyDescent="0.5">
      <c r="A99" s="1" t="s">
        <v>203</v>
      </c>
      <c r="B99" s="2">
        <v>3.920048</v>
      </c>
      <c r="C99" s="2">
        <v>10.181900000000001</v>
      </c>
      <c r="D99" s="2">
        <v>3052.648263</v>
      </c>
      <c r="E99" s="5">
        <v>685.56297099999995</v>
      </c>
      <c r="F99" s="2">
        <v>42.251199999999997</v>
      </c>
      <c r="G99" s="2">
        <v>9.6805000000000003</v>
      </c>
      <c r="H99" s="2">
        <v>22.5886</v>
      </c>
      <c r="I99" s="2">
        <v>6889.8662000000004</v>
      </c>
      <c r="J99" s="5">
        <v>4.1338689999999998</v>
      </c>
      <c r="K99" s="2">
        <v>30.457999999999998</v>
      </c>
      <c r="L99" s="2">
        <v>2.7300330000000002</v>
      </c>
      <c r="M99" s="2">
        <v>4.7664220000000004</v>
      </c>
      <c r="N99" s="2">
        <v>91.707499999999996</v>
      </c>
      <c r="O99" s="2">
        <v>7.2567000000000004</v>
      </c>
      <c r="P99" s="2">
        <v>0.90269999999999995</v>
      </c>
      <c r="Q99" s="2">
        <v>1918.6599000000001</v>
      </c>
      <c r="R99" s="2">
        <v>1.6571</v>
      </c>
      <c r="S99" s="2">
        <v>11.07159</v>
      </c>
      <c r="T99" s="2">
        <v>14.210900000000001</v>
      </c>
      <c r="U99" s="2">
        <v>1.6877</v>
      </c>
    </row>
    <row r="100" spans="1:21" customFormat="1" x14ac:dyDescent="0.5">
      <c r="A100" s="1" t="s">
        <v>204</v>
      </c>
      <c r="B100" s="2">
        <v>3.8804189999999998</v>
      </c>
      <c r="C100" s="2">
        <v>10.088800000000001</v>
      </c>
      <c r="D100" s="2">
        <v>2983.1554259999998</v>
      </c>
      <c r="E100" s="5">
        <v>669.58347400000002</v>
      </c>
      <c r="F100" s="2">
        <v>42.555999999999997</v>
      </c>
      <c r="G100" s="2">
        <v>9.6020000000000003</v>
      </c>
      <c r="H100" s="2">
        <v>22.4741</v>
      </c>
      <c r="I100" s="2">
        <v>6758.9525999999996</v>
      </c>
      <c r="J100" s="5">
        <v>4.0821949999999996</v>
      </c>
      <c r="K100" s="2">
        <v>30.084900000000001</v>
      </c>
      <c r="L100" s="2">
        <v>2.7050689999999999</v>
      </c>
      <c r="M100" s="2">
        <v>4.722836</v>
      </c>
      <c r="N100" s="2">
        <v>91.1173</v>
      </c>
      <c r="O100" s="2">
        <v>7.2697000000000003</v>
      </c>
      <c r="P100" s="2">
        <v>0.89439999999999997</v>
      </c>
      <c r="Q100" s="2">
        <v>1901.1151</v>
      </c>
      <c r="R100" s="2">
        <v>1.6574</v>
      </c>
      <c r="S100" s="2">
        <v>11.044753999999999</v>
      </c>
      <c r="T100" s="2">
        <v>14.251300000000001</v>
      </c>
      <c r="U100" s="2">
        <v>1.6836</v>
      </c>
    </row>
    <row r="101" spans="1:21" customFormat="1" x14ac:dyDescent="0.5">
      <c r="A101" s="1" t="s">
        <v>205</v>
      </c>
      <c r="B101" s="2">
        <v>3.9352710000000002</v>
      </c>
      <c r="C101" s="2">
        <v>10.305099999999999</v>
      </c>
      <c r="D101" s="2">
        <v>2950.9635149999999</v>
      </c>
      <c r="E101" s="5">
        <v>679.41704400000003</v>
      </c>
      <c r="F101" s="2">
        <v>43.456699999999998</v>
      </c>
      <c r="G101" s="2">
        <v>9.8015000000000008</v>
      </c>
      <c r="H101" s="2">
        <v>23.05</v>
      </c>
      <c r="I101" s="2">
        <v>6970.6454999999996</v>
      </c>
      <c r="J101" s="5">
        <v>4.1503899999999998</v>
      </c>
      <c r="K101" s="2">
        <v>31.042899999999999</v>
      </c>
      <c r="L101" s="2">
        <v>2.7630620000000001</v>
      </c>
      <c r="M101" s="2">
        <v>4.8240879999999997</v>
      </c>
      <c r="N101" s="2">
        <v>92.373900000000006</v>
      </c>
      <c r="O101" s="2">
        <v>7.5397999999999996</v>
      </c>
      <c r="P101" s="2">
        <v>0.91359999999999997</v>
      </c>
      <c r="Q101" s="2">
        <v>1941.8724</v>
      </c>
      <c r="R101" s="2">
        <v>1.6922999999999999</v>
      </c>
      <c r="S101" s="2">
        <v>11.089605000000001</v>
      </c>
      <c r="T101" s="2">
        <v>14.817</v>
      </c>
      <c r="U101" s="2">
        <v>1.6952</v>
      </c>
    </row>
    <row r="102" spans="1:21" customFormat="1" x14ac:dyDescent="0.5">
      <c r="A102" s="1" t="s">
        <v>206</v>
      </c>
      <c r="B102" s="2">
        <v>4.0166880000000003</v>
      </c>
      <c r="C102" s="2">
        <v>10.554399999999999</v>
      </c>
      <c r="D102" s="2">
        <v>2990.5036089999999</v>
      </c>
      <c r="E102" s="5">
        <v>697.08037000000002</v>
      </c>
      <c r="F102" s="2">
        <v>44.128100000000003</v>
      </c>
      <c r="G102" s="2">
        <v>10.048299999999999</v>
      </c>
      <c r="H102" s="2">
        <v>23.7394</v>
      </c>
      <c r="I102" s="2">
        <v>7032.8374000000003</v>
      </c>
      <c r="J102" s="5">
        <v>4.234699</v>
      </c>
      <c r="K102" s="2">
        <v>32.303899999999999</v>
      </c>
      <c r="L102" s="2">
        <v>2.8341430000000001</v>
      </c>
      <c r="M102" s="2">
        <v>4.9481900000000003</v>
      </c>
      <c r="N102" s="2">
        <v>93.905900000000003</v>
      </c>
      <c r="O102" s="2">
        <v>7.5122</v>
      </c>
      <c r="P102" s="2">
        <v>0.93710000000000004</v>
      </c>
      <c r="Q102" s="2">
        <v>1991.828</v>
      </c>
      <c r="R102" s="2">
        <v>1.6906000000000001</v>
      </c>
      <c r="S102" s="2">
        <v>11.147629999999999</v>
      </c>
      <c r="T102" s="2">
        <v>14.783300000000001</v>
      </c>
      <c r="U102" s="2">
        <v>1.7137</v>
      </c>
    </row>
    <row r="103" spans="1:21" customFormat="1" x14ac:dyDescent="0.5">
      <c r="A103" s="1" t="s">
        <v>207</v>
      </c>
      <c r="B103" s="2">
        <v>3.985382</v>
      </c>
      <c r="C103" s="2">
        <v>10.354699999999999</v>
      </c>
      <c r="D103" s="2">
        <v>2905.637295</v>
      </c>
      <c r="E103" s="5">
        <v>702.58930699999996</v>
      </c>
      <c r="F103" s="2">
        <v>44.191499999999998</v>
      </c>
      <c r="G103" s="2">
        <v>9.9842999999999993</v>
      </c>
      <c r="H103" s="2">
        <v>23.450800000000001</v>
      </c>
      <c r="I103" s="2">
        <v>6787.4979999999996</v>
      </c>
      <c r="J103" s="5">
        <v>4.1504649999999996</v>
      </c>
      <c r="K103" s="2">
        <v>31.746600000000001</v>
      </c>
      <c r="L103" s="2">
        <v>2.7882069999999999</v>
      </c>
      <c r="M103" s="2">
        <v>4.8679889999999997</v>
      </c>
      <c r="N103" s="2">
        <v>92.937700000000007</v>
      </c>
      <c r="O103" s="2">
        <v>7.3734000000000002</v>
      </c>
      <c r="P103" s="2">
        <v>0.92190000000000005</v>
      </c>
      <c r="Q103" s="2">
        <v>1959.5444</v>
      </c>
      <c r="R103" s="2">
        <v>1.6779999999999999</v>
      </c>
      <c r="S103" s="2">
        <v>11.116434</v>
      </c>
      <c r="T103" s="2">
        <v>14.540900000000001</v>
      </c>
      <c r="U103" s="2">
        <v>1.7067000000000001</v>
      </c>
    </row>
    <row r="104" spans="1:21" customFormat="1" x14ac:dyDescent="0.5">
      <c r="A104" s="1" t="s">
        <v>208</v>
      </c>
      <c r="B104" s="2">
        <v>4.0307760000000004</v>
      </c>
      <c r="C104" s="2">
        <v>10.400499999999999</v>
      </c>
      <c r="D104" s="2">
        <v>2909.9115430000002</v>
      </c>
      <c r="E104" s="5">
        <v>708.97466899999995</v>
      </c>
      <c r="F104" s="2">
        <v>43.911000000000001</v>
      </c>
      <c r="G104" s="2">
        <v>10.0619</v>
      </c>
      <c r="H104" s="2">
        <v>23.6813</v>
      </c>
      <c r="I104" s="2">
        <v>6813.6190999999999</v>
      </c>
      <c r="J104" s="5">
        <v>4.1706700000000003</v>
      </c>
      <c r="K104" s="2">
        <v>31.771599999999999</v>
      </c>
      <c r="L104" s="2">
        <v>2.8044159999999998</v>
      </c>
      <c r="M104" s="2">
        <v>4.8962880000000002</v>
      </c>
      <c r="N104" s="2">
        <v>93.305300000000003</v>
      </c>
      <c r="O104" s="2">
        <v>7.5171000000000001</v>
      </c>
      <c r="P104" s="2">
        <v>0.92720000000000002</v>
      </c>
      <c r="Q104" s="2">
        <v>1970.9357</v>
      </c>
      <c r="R104" s="2">
        <v>1.6959</v>
      </c>
      <c r="S104" s="2">
        <v>11.124836999999999</v>
      </c>
      <c r="T104" s="2">
        <v>14.8293</v>
      </c>
      <c r="U104" s="2">
        <v>1.7165999999999999</v>
      </c>
    </row>
    <row r="105" spans="1:21" customFormat="1" x14ac:dyDescent="0.5">
      <c r="A105" s="1" t="s">
        <v>209</v>
      </c>
      <c r="B105" s="2">
        <v>4.0811419999999998</v>
      </c>
      <c r="C105" s="2">
        <v>10.5313</v>
      </c>
      <c r="D105" s="2">
        <v>2913.8853479999998</v>
      </c>
      <c r="E105" s="5">
        <v>713.06110200000001</v>
      </c>
      <c r="F105" s="2">
        <v>43.732599999999998</v>
      </c>
      <c r="G105" s="2">
        <v>10.1843</v>
      </c>
      <c r="H105" s="2">
        <v>24.079000000000001</v>
      </c>
      <c r="I105" s="2">
        <v>6752.0263999999997</v>
      </c>
      <c r="J105" s="5">
        <v>4.218858</v>
      </c>
      <c r="K105" s="2">
        <v>32.165799999999997</v>
      </c>
      <c r="L105" s="2">
        <v>2.8403800000000001</v>
      </c>
      <c r="M105" s="2">
        <v>4.9590779999999999</v>
      </c>
      <c r="N105" s="2">
        <v>94.075500000000005</v>
      </c>
      <c r="O105" s="2">
        <v>7.5819000000000001</v>
      </c>
      <c r="P105" s="2">
        <v>0.93910000000000005</v>
      </c>
      <c r="Q105" s="2">
        <v>1996.2109</v>
      </c>
      <c r="R105" s="2">
        <v>1.7009000000000001</v>
      </c>
      <c r="S105" s="2">
        <v>11.153622</v>
      </c>
      <c r="T105" s="2">
        <v>14.9495</v>
      </c>
      <c r="U105" s="2">
        <v>1.7281</v>
      </c>
    </row>
    <row r="106" spans="1:21" customFormat="1" x14ac:dyDescent="0.5">
      <c r="A106" s="1" t="s">
        <v>210</v>
      </c>
      <c r="B106" s="2">
        <v>4.1481089999999998</v>
      </c>
      <c r="C106" s="2">
        <v>10.7453</v>
      </c>
      <c r="D106" s="2">
        <v>2904.6358610000002</v>
      </c>
      <c r="E106" s="5">
        <v>719.46506799999997</v>
      </c>
      <c r="F106" s="2">
        <v>43.918100000000003</v>
      </c>
      <c r="G106" s="2">
        <v>10.354699999999999</v>
      </c>
      <c r="H106" s="2">
        <v>24.679200000000002</v>
      </c>
      <c r="I106" s="2">
        <v>6812.1436000000003</v>
      </c>
      <c r="J106" s="5">
        <v>4.2954350000000003</v>
      </c>
      <c r="K106" s="2">
        <v>32.553699999999999</v>
      </c>
      <c r="L106" s="2">
        <v>2.899216</v>
      </c>
      <c r="M106" s="2">
        <v>5.061801</v>
      </c>
      <c r="N106" s="2">
        <v>95.344300000000004</v>
      </c>
      <c r="O106" s="2">
        <v>7.7180999999999997</v>
      </c>
      <c r="P106" s="2">
        <v>0.95860000000000001</v>
      </c>
      <c r="Q106" s="2">
        <v>2037.5608</v>
      </c>
      <c r="R106" s="2">
        <v>1.7222</v>
      </c>
      <c r="S106" s="2">
        <v>11.191379</v>
      </c>
      <c r="T106" s="2">
        <v>15.271599999999999</v>
      </c>
      <c r="U106" s="2">
        <v>1.7503</v>
      </c>
    </row>
    <row r="107" spans="1:21" customFormat="1" x14ac:dyDescent="0.5">
      <c r="A107" s="1" t="s">
        <v>211</v>
      </c>
      <c r="B107" s="2">
        <v>4.1344630000000002</v>
      </c>
      <c r="C107" s="2">
        <v>10.7104</v>
      </c>
      <c r="D107" s="2">
        <v>2692.2787520000002</v>
      </c>
      <c r="E107" s="5">
        <v>705.317858</v>
      </c>
      <c r="F107" s="2">
        <v>43.733400000000003</v>
      </c>
      <c r="G107" s="2">
        <v>10.326700000000001</v>
      </c>
      <c r="H107" s="2">
        <v>24.770299999999999</v>
      </c>
      <c r="I107" s="2">
        <v>6832.6737999999996</v>
      </c>
      <c r="J107" s="5">
        <v>4.280386</v>
      </c>
      <c r="K107" s="2">
        <v>32.416400000000003</v>
      </c>
      <c r="L107" s="2">
        <v>2.8981780000000001</v>
      </c>
      <c r="M107" s="2">
        <v>5.0667439999999999</v>
      </c>
      <c r="N107" s="2">
        <v>95.241299999999995</v>
      </c>
      <c r="O107" s="2">
        <v>7.6520999999999999</v>
      </c>
      <c r="P107" s="2">
        <v>0.95820000000000005</v>
      </c>
      <c r="Q107" s="2">
        <v>2036.8312000000001</v>
      </c>
      <c r="R107" s="2">
        <v>1.7202999999999999</v>
      </c>
      <c r="S107" s="2">
        <v>11.192776</v>
      </c>
      <c r="T107" s="2">
        <v>15.101000000000001</v>
      </c>
      <c r="U107" s="2">
        <v>1.7538</v>
      </c>
    </row>
    <row r="108" spans="1:21" customFormat="1" x14ac:dyDescent="0.5">
      <c r="A108" s="1" t="s">
        <v>212</v>
      </c>
      <c r="B108" s="2">
        <v>4.1047409999999998</v>
      </c>
      <c r="C108" s="2">
        <v>10.614100000000001</v>
      </c>
      <c r="D108" s="2">
        <v>2578.043036</v>
      </c>
      <c r="E108" s="5">
        <v>706.78295500000002</v>
      </c>
      <c r="F108" s="2">
        <v>43.822400000000002</v>
      </c>
      <c r="G108" s="2">
        <v>10.3041</v>
      </c>
      <c r="H108" s="2">
        <v>24.700900000000001</v>
      </c>
      <c r="I108" s="2">
        <v>6834.4809999999998</v>
      </c>
      <c r="J108" s="5">
        <v>4.2536870000000002</v>
      </c>
      <c r="K108" s="2">
        <v>32.107999999999997</v>
      </c>
      <c r="L108" s="2">
        <v>2.8782839999999998</v>
      </c>
      <c r="M108" s="2">
        <v>5.0252549999999996</v>
      </c>
      <c r="N108" s="2">
        <v>94.261399999999995</v>
      </c>
      <c r="O108" s="2">
        <v>7.6829999999999998</v>
      </c>
      <c r="P108" s="2">
        <v>0.95169999999999999</v>
      </c>
      <c r="Q108" s="2">
        <v>2022.8496</v>
      </c>
      <c r="R108" s="2">
        <v>1.7248000000000001</v>
      </c>
      <c r="S108" s="2">
        <v>11.177670000000001</v>
      </c>
      <c r="T108" s="2">
        <v>15.1594</v>
      </c>
      <c r="U108" s="2">
        <v>1.7498</v>
      </c>
    </row>
    <row r="109" spans="1:21" customFormat="1" x14ac:dyDescent="0.5">
      <c r="A109" s="1" t="s">
        <v>213</v>
      </c>
      <c r="B109" s="2">
        <v>4.2422319999999996</v>
      </c>
      <c r="C109" s="2">
        <v>10.7805</v>
      </c>
      <c r="D109" s="2">
        <v>2669.3694230000001</v>
      </c>
      <c r="E109" s="5">
        <v>712.93639900000005</v>
      </c>
      <c r="F109" s="2">
        <v>45.618099999999998</v>
      </c>
      <c r="G109" s="2">
        <v>10.5322</v>
      </c>
      <c r="H109" s="2">
        <v>25.3505</v>
      </c>
      <c r="I109" s="2">
        <v>7026.4970999999996</v>
      </c>
      <c r="J109" s="5">
        <v>4.3354980000000003</v>
      </c>
      <c r="K109" s="2">
        <v>32.665100000000002</v>
      </c>
      <c r="L109" s="2">
        <v>2.9419940000000002</v>
      </c>
      <c r="M109" s="2">
        <v>5.1364890000000001</v>
      </c>
      <c r="N109" s="2">
        <v>94.612899999999996</v>
      </c>
      <c r="O109" s="2">
        <v>7.7321</v>
      </c>
      <c r="P109" s="2">
        <v>0.97270000000000001</v>
      </c>
      <c r="Q109" s="2">
        <v>2067.6251999999999</v>
      </c>
      <c r="R109" s="2">
        <v>1.7306999999999999</v>
      </c>
      <c r="S109" s="2">
        <v>11.217981999999999</v>
      </c>
      <c r="T109" s="2">
        <v>15.386100000000001</v>
      </c>
      <c r="U109" s="2">
        <v>1.7885</v>
      </c>
    </row>
    <row r="110" spans="1:21" customFormat="1" x14ac:dyDescent="0.5">
      <c r="A110" s="1" t="s">
        <v>214</v>
      </c>
      <c r="B110" s="2">
        <v>4.2679220000000004</v>
      </c>
      <c r="C110" s="2">
        <v>10.677300000000001</v>
      </c>
      <c r="D110" s="2">
        <v>2849.6318839999999</v>
      </c>
      <c r="E110" s="5">
        <v>712.34661000000006</v>
      </c>
      <c r="F110" s="2">
        <v>45.169400000000003</v>
      </c>
      <c r="G110" s="2">
        <v>10.4389</v>
      </c>
      <c r="H110" s="2">
        <v>25.283300000000001</v>
      </c>
      <c r="I110" s="2">
        <v>6957.4081999999999</v>
      </c>
      <c r="J110" s="5">
        <v>4.3019790000000002</v>
      </c>
      <c r="K110" s="2">
        <v>32.1967</v>
      </c>
      <c r="L110" s="2">
        <v>2.9220220000000001</v>
      </c>
      <c r="M110" s="2">
        <v>5.1084290000000001</v>
      </c>
      <c r="N110" s="2">
        <v>92.243200000000002</v>
      </c>
      <c r="O110" s="2">
        <v>7.7392000000000003</v>
      </c>
      <c r="P110" s="2">
        <v>0.96609999999999996</v>
      </c>
      <c r="Q110" s="2">
        <v>2053.5886</v>
      </c>
      <c r="R110" s="2">
        <v>1.7282</v>
      </c>
      <c r="S110" s="2">
        <v>11.196315</v>
      </c>
      <c r="T110" s="2">
        <v>15.383900000000001</v>
      </c>
      <c r="U110" s="2">
        <v>1.7450000000000001</v>
      </c>
    </row>
    <row r="111" spans="1:21" customFormat="1" x14ac:dyDescent="0.5">
      <c r="A111" s="1" t="s">
        <v>215</v>
      </c>
      <c r="B111" s="2">
        <v>4.3468099999999996</v>
      </c>
      <c r="C111" s="2">
        <v>10.7836</v>
      </c>
      <c r="D111" s="2">
        <v>2935.1246409999999</v>
      </c>
      <c r="E111" s="5">
        <v>718.32136000000003</v>
      </c>
      <c r="F111" s="2">
        <v>46.637900000000002</v>
      </c>
      <c r="G111" s="2">
        <v>10.701700000000001</v>
      </c>
      <c r="H111" s="2">
        <v>25.897400000000001</v>
      </c>
      <c r="I111" s="2">
        <v>6980.7426999999998</v>
      </c>
      <c r="J111" s="5">
        <v>4.3579270000000001</v>
      </c>
      <c r="K111" s="2">
        <v>32.302300000000002</v>
      </c>
      <c r="L111" s="2">
        <v>2.980788</v>
      </c>
      <c r="M111" s="2">
        <v>5.2111689999999999</v>
      </c>
      <c r="N111" s="2">
        <v>94.713999999999999</v>
      </c>
      <c r="O111" s="2">
        <v>7.9089999999999998</v>
      </c>
      <c r="P111" s="2">
        <v>0.98560000000000003</v>
      </c>
      <c r="Q111" s="2">
        <v>2094.8899000000001</v>
      </c>
      <c r="R111" s="2">
        <v>1.7592000000000001</v>
      </c>
      <c r="S111" s="2">
        <v>11.246397</v>
      </c>
      <c r="T111" s="2">
        <v>15.915900000000001</v>
      </c>
      <c r="U111" s="2">
        <v>1.7593000000000001</v>
      </c>
    </row>
    <row r="112" spans="1:21" customFormat="1" x14ac:dyDescent="0.5">
      <c r="A112" s="1" t="s">
        <v>216</v>
      </c>
      <c r="B112" s="2">
        <v>4.467428</v>
      </c>
      <c r="C112" s="2">
        <v>11.023400000000001</v>
      </c>
      <c r="D112" s="2">
        <v>2846.1215780000002</v>
      </c>
      <c r="E112" s="5">
        <v>713.36575100000005</v>
      </c>
      <c r="F112" s="2">
        <v>47.889699999999998</v>
      </c>
      <c r="G112" s="2">
        <v>10.983599999999999</v>
      </c>
      <c r="H112" s="2">
        <v>26.622499999999999</v>
      </c>
      <c r="I112" s="2">
        <v>7052.6318000000001</v>
      </c>
      <c r="J112" s="5">
        <v>4.2966980000000001</v>
      </c>
      <c r="K112" s="2">
        <v>31.6846</v>
      </c>
      <c r="L112" s="2">
        <v>3.0517940000000001</v>
      </c>
      <c r="M112" s="2">
        <v>5.3353039999999998</v>
      </c>
      <c r="N112" s="2">
        <v>96.143600000000006</v>
      </c>
      <c r="O112" s="2">
        <v>7.9501999999999997</v>
      </c>
      <c r="P112" s="2">
        <v>1.0089999999999999</v>
      </c>
      <c r="Q112" s="2">
        <v>2144.7921999999999</v>
      </c>
      <c r="R112" s="2">
        <v>1.7769999999999999</v>
      </c>
      <c r="S112" s="2">
        <v>11.290927</v>
      </c>
      <c r="T112" s="2">
        <v>16.216799999999999</v>
      </c>
      <c r="U112" s="2">
        <v>1.7769999999999999</v>
      </c>
    </row>
    <row r="113" spans="1:21" customFormat="1" x14ac:dyDescent="0.5">
      <c r="A113" s="1" t="s">
        <v>217</v>
      </c>
      <c r="B113" s="2">
        <v>4.5754210000000004</v>
      </c>
      <c r="C113" s="2">
        <v>11.3108</v>
      </c>
      <c r="D113" s="2">
        <v>3006.7828439999998</v>
      </c>
      <c r="E113" s="5">
        <v>744.38696300000004</v>
      </c>
      <c r="F113" s="2">
        <v>49.3825</v>
      </c>
      <c r="G113" s="2">
        <v>11.219799999999999</v>
      </c>
      <c r="H113" s="2">
        <v>27.587599999999998</v>
      </c>
      <c r="I113" s="2">
        <v>6941.9092000000001</v>
      </c>
      <c r="J113" s="5">
        <v>4.3992180000000003</v>
      </c>
      <c r="K113" s="2">
        <v>32.267299999999999</v>
      </c>
      <c r="L113" s="2">
        <v>3.1496400000000002</v>
      </c>
      <c r="M113" s="2">
        <v>5.5063639999999996</v>
      </c>
      <c r="N113" s="2">
        <v>98.119</v>
      </c>
      <c r="O113" s="2">
        <v>8.1480999999999995</v>
      </c>
      <c r="P113" s="2">
        <v>1.0414000000000001</v>
      </c>
      <c r="Q113" s="2">
        <v>2213.5581000000002</v>
      </c>
      <c r="R113" s="2">
        <v>1.7936000000000001</v>
      </c>
      <c r="S113" s="2">
        <v>11.348983</v>
      </c>
      <c r="T113" s="2">
        <v>16.569199999999999</v>
      </c>
      <c r="U113" s="2">
        <v>1.7928999999999999</v>
      </c>
    </row>
    <row r="114" spans="1:21" customFormat="1" x14ac:dyDescent="0.5">
      <c r="A114" s="1" t="s">
        <v>218</v>
      </c>
      <c r="B114" s="2">
        <v>4.5444979999999999</v>
      </c>
      <c r="C114" s="2">
        <v>11.138999999999999</v>
      </c>
      <c r="D114" s="2">
        <v>2938.4061280000001</v>
      </c>
      <c r="E114" s="5">
        <v>727.46935299999996</v>
      </c>
      <c r="F114" s="2">
        <v>49.186599999999999</v>
      </c>
      <c r="G114" s="2">
        <v>11.1114</v>
      </c>
      <c r="H114" s="2">
        <v>27.486999999999998</v>
      </c>
      <c r="I114" s="2">
        <v>6894.2617</v>
      </c>
      <c r="J114" s="5">
        <v>4.3434270000000001</v>
      </c>
      <c r="K114" s="2">
        <v>31.606000000000002</v>
      </c>
      <c r="L114" s="2">
        <v>3.1253440000000001</v>
      </c>
      <c r="M114" s="2">
        <v>5.4638879999999999</v>
      </c>
      <c r="N114" s="2">
        <v>97.726399999999998</v>
      </c>
      <c r="O114" s="2">
        <v>8.1023999999999994</v>
      </c>
      <c r="P114" s="2">
        <v>1.0334000000000001</v>
      </c>
      <c r="Q114" s="2">
        <v>2196.4832000000001</v>
      </c>
      <c r="R114" s="2">
        <v>1.7996000000000001</v>
      </c>
      <c r="S114" s="2">
        <v>11.328461000000001</v>
      </c>
      <c r="T114" s="2">
        <v>16.5243</v>
      </c>
      <c r="U114" s="2">
        <v>1.7891999999999999</v>
      </c>
    </row>
    <row r="115" spans="1:21" customFormat="1" x14ac:dyDescent="0.5">
      <c r="A115" s="1" t="s">
        <v>219</v>
      </c>
      <c r="B115" s="2">
        <v>4.5998320000000001</v>
      </c>
      <c r="C115" s="2">
        <v>11.190300000000001</v>
      </c>
      <c r="D115" s="2">
        <v>2914.073191</v>
      </c>
      <c r="E115" s="5">
        <v>707.78424800000005</v>
      </c>
      <c r="F115" s="2">
        <v>49.885100000000001</v>
      </c>
      <c r="G115" s="2">
        <v>11.3413</v>
      </c>
      <c r="H115" s="2">
        <v>27.880600000000001</v>
      </c>
      <c r="I115" s="2">
        <v>6936.4034000000001</v>
      </c>
      <c r="J115" s="5">
        <v>4.342225</v>
      </c>
      <c r="K115" s="2">
        <v>31.201699999999999</v>
      </c>
      <c r="L115" s="2">
        <v>3.1599349999999999</v>
      </c>
      <c r="M115" s="2">
        <v>5.5192160000000001</v>
      </c>
      <c r="N115" s="2">
        <v>98.385400000000004</v>
      </c>
      <c r="O115" s="2">
        <v>8.1784999999999997</v>
      </c>
      <c r="P115" s="2">
        <v>1.0435000000000001</v>
      </c>
      <c r="Q115" s="2">
        <v>2218.7248</v>
      </c>
      <c r="R115" s="2">
        <v>1.8141</v>
      </c>
      <c r="S115" s="2">
        <v>11.358694</v>
      </c>
      <c r="T115" s="2">
        <v>16.691600000000001</v>
      </c>
      <c r="U115" s="2">
        <v>1.7901</v>
      </c>
    </row>
    <row r="116" spans="1:21" customFormat="1" x14ac:dyDescent="0.5">
      <c r="A116" s="1" t="s">
        <v>220</v>
      </c>
      <c r="B116" s="2">
        <v>4.6281889999999999</v>
      </c>
      <c r="C116" s="2">
        <v>11.1274</v>
      </c>
      <c r="D116" s="2">
        <v>2811.8005680000001</v>
      </c>
      <c r="E116" s="5">
        <v>689.07385499999998</v>
      </c>
      <c r="F116" s="2">
        <v>50.079799999999999</v>
      </c>
      <c r="G116" s="2">
        <v>11.3911</v>
      </c>
      <c r="H116" s="2">
        <v>28.0503</v>
      </c>
      <c r="I116" s="2">
        <v>6906.2242999999999</v>
      </c>
      <c r="J116" s="5">
        <v>4.2851419999999996</v>
      </c>
      <c r="K116" s="2">
        <v>30.8781</v>
      </c>
      <c r="L116" s="2">
        <v>3.166477</v>
      </c>
      <c r="M116" s="2">
        <v>5.5306430000000004</v>
      </c>
      <c r="N116" s="2">
        <v>98.473299999999995</v>
      </c>
      <c r="O116" s="2">
        <v>8.3419000000000008</v>
      </c>
      <c r="P116" s="2">
        <v>1.0457000000000001</v>
      </c>
      <c r="Q116" s="2">
        <v>2223.3184000000001</v>
      </c>
      <c r="R116" s="2">
        <v>1.8485</v>
      </c>
      <c r="S116" s="2">
        <v>11.36702</v>
      </c>
      <c r="T116" s="2">
        <v>17.024999999999999</v>
      </c>
      <c r="U116" s="2">
        <v>1.794</v>
      </c>
    </row>
    <row r="117" spans="1:21" customFormat="1" x14ac:dyDescent="0.5">
      <c r="A117" s="1" t="s">
        <v>221</v>
      </c>
      <c r="B117" s="2">
        <v>4.8691190000000004</v>
      </c>
      <c r="C117" s="2">
        <v>11.647399999999999</v>
      </c>
      <c r="D117" s="2">
        <v>2866.6848810000001</v>
      </c>
      <c r="E117" s="5">
        <v>687.73195699999997</v>
      </c>
      <c r="F117" s="2">
        <v>52.852400000000003</v>
      </c>
      <c r="G117" s="2">
        <v>11.8604</v>
      </c>
      <c r="H117" s="2">
        <v>29.648599999999998</v>
      </c>
      <c r="I117" s="2">
        <v>7028.3927000000003</v>
      </c>
      <c r="J117" s="5">
        <v>4.3643510000000001</v>
      </c>
      <c r="K117" s="2">
        <v>32.025199999999998</v>
      </c>
      <c r="L117" s="2">
        <v>3.333545</v>
      </c>
      <c r="M117" s="2">
        <v>5.8224470000000004</v>
      </c>
      <c r="N117" s="2">
        <v>101.9666</v>
      </c>
      <c r="O117" s="2">
        <v>8.6334</v>
      </c>
      <c r="P117" s="2">
        <v>1.1008</v>
      </c>
      <c r="Q117" s="2">
        <v>2340.6237999999998</v>
      </c>
      <c r="R117" s="2">
        <v>1.8720000000000001</v>
      </c>
      <c r="S117" s="2">
        <v>11.452055</v>
      </c>
      <c r="T117" s="2">
        <v>17.748999999999999</v>
      </c>
      <c r="U117" s="2">
        <v>1.8109999999999999</v>
      </c>
    </row>
    <row r="118" spans="1:21" customFormat="1" x14ac:dyDescent="0.5">
      <c r="A118" s="1" t="s">
        <v>222</v>
      </c>
      <c r="B118" s="2">
        <v>4.9566819999999998</v>
      </c>
      <c r="C118" s="2">
        <v>11.659000000000001</v>
      </c>
      <c r="D118" s="2">
        <v>2830.7688029999999</v>
      </c>
      <c r="E118" s="5">
        <v>703.14957200000003</v>
      </c>
      <c r="F118" s="2">
        <v>53.766199999999998</v>
      </c>
      <c r="G118" s="2">
        <v>11.8779</v>
      </c>
      <c r="H118" s="2">
        <v>30.198799999999999</v>
      </c>
      <c r="I118" s="2">
        <v>6740.4980999999998</v>
      </c>
      <c r="J118" s="5">
        <v>4.3203620000000003</v>
      </c>
      <c r="K118" s="2">
        <v>31.3947</v>
      </c>
      <c r="L118" s="2">
        <v>3.3816320000000002</v>
      </c>
      <c r="M118" s="2">
        <v>5.9064379999999996</v>
      </c>
      <c r="N118" s="2">
        <v>102.3302</v>
      </c>
      <c r="O118" s="2">
        <v>8.4227000000000007</v>
      </c>
      <c r="P118" s="2">
        <v>1.1167</v>
      </c>
      <c r="Q118" s="2">
        <v>2374.3879000000002</v>
      </c>
      <c r="R118" s="2">
        <v>1.8352999999999999</v>
      </c>
      <c r="S118" s="2">
        <v>11.483217</v>
      </c>
      <c r="T118" s="2">
        <v>17.4437</v>
      </c>
      <c r="U118" s="2">
        <v>1.8232999999999999</v>
      </c>
    </row>
    <row r="119" spans="1:21" customFormat="1" x14ac:dyDescent="0.5">
      <c r="A119" s="1" t="s">
        <v>223</v>
      </c>
      <c r="B119" s="2">
        <v>4.8700099999999997</v>
      </c>
      <c r="C119" s="2">
        <v>11.350099999999999</v>
      </c>
      <c r="D119" s="2">
        <v>2768.7012559999998</v>
      </c>
      <c r="E119" s="5">
        <v>731.33456999999999</v>
      </c>
      <c r="F119" s="2">
        <v>53.097999999999999</v>
      </c>
      <c r="G119" s="2">
        <v>11.565899999999999</v>
      </c>
      <c r="H119" s="2">
        <v>29.949400000000001</v>
      </c>
      <c r="I119" s="2">
        <v>6350.7563</v>
      </c>
      <c r="J119" s="5">
        <v>4.3631159999999998</v>
      </c>
      <c r="K119" s="2">
        <v>30.9178</v>
      </c>
      <c r="L119" s="2">
        <v>3.3400880000000002</v>
      </c>
      <c r="M119" s="2">
        <v>5.8338749999999999</v>
      </c>
      <c r="N119" s="2">
        <v>98.749799999999993</v>
      </c>
      <c r="O119" s="2">
        <v>8.2812999999999999</v>
      </c>
      <c r="P119" s="2">
        <v>1.1045</v>
      </c>
      <c r="Q119" s="2">
        <v>2345.2177999999999</v>
      </c>
      <c r="R119" s="2">
        <v>1.8454999999999999</v>
      </c>
      <c r="S119" s="2">
        <v>11.462242</v>
      </c>
      <c r="T119" s="2">
        <v>17.407699999999998</v>
      </c>
      <c r="U119" s="2">
        <v>1.8267</v>
      </c>
    </row>
    <row r="120" spans="1:21" customFormat="1" x14ac:dyDescent="0.5">
      <c r="A120" s="1" t="s">
        <v>224</v>
      </c>
      <c r="B120" s="2">
        <v>4.7022529999999998</v>
      </c>
      <c r="C120" s="2">
        <v>11.226000000000001</v>
      </c>
      <c r="D120" s="2">
        <v>2666.0050500000002</v>
      </c>
      <c r="E120" s="5">
        <v>767.70358199999998</v>
      </c>
      <c r="F120" s="2">
        <v>53.296599999999998</v>
      </c>
      <c r="G120" s="2">
        <v>11.6564</v>
      </c>
      <c r="H120" s="2">
        <v>30.063199999999998</v>
      </c>
      <c r="I120" s="2">
        <v>6188.0550999999996</v>
      </c>
      <c r="J120" s="5">
        <v>4.4972370000000002</v>
      </c>
      <c r="K120" s="2">
        <v>30.3186</v>
      </c>
      <c r="L120" s="2">
        <v>3.339178</v>
      </c>
      <c r="M120" s="2">
        <v>5.8322859999999999</v>
      </c>
      <c r="N120" s="2">
        <v>97.046599999999998</v>
      </c>
      <c r="O120" s="2">
        <v>8.4179999999999993</v>
      </c>
      <c r="P120" s="2">
        <v>1.1042000000000001</v>
      </c>
      <c r="Q120" s="2">
        <v>2344.5789</v>
      </c>
      <c r="R120" s="2">
        <v>1.8814</v>
      </c>
      <c r="S120" s="2">
        <v>11.459118999999999</v>
      </c>
      <c r="T120" s="2">
        <v>17.6951</v>
      </c>
      <c r="U120" s="2">
        <v>1.8311999999999999</v>
      </c>
    </row>
    <row r="121" spans="1:21" customFormat="1" x14ac:dyDescent="0.5">
      <c r="A121" s="1" t="s">
        <v>225</v>
      </c>
      <c r="B121" s="2">
        <v>4.7354979999999998</v>
      </c>
      <c r="C121" s="2">
        <v>11.2417</v>
      </c>
      <c r="D121" s="2">
        <v>2811.8820839999998</v>
      </c>
      <c r="E121" s="5">
        <v>792.01719400000002</v>
      </c>
      <c r="F121" s="2">
        <v>54.224899999999998</v>
      </c>
      <c r="G121" s="2">
        <v>11.737299999999999</v>
      </c>
      <c r="H121" s="2">
        <v>30.6066</v>
      </c>
      <c r="I121" s="2">
        <v>6271.8822</v>
      </c>
      <c r="J121" s="5">
        <v>4.4912089999999996</v>
      </c>
      <c r="K121" s="2">
        <v>30.360099999999999</v>
      </c>
      <c r="L121" s="2">
        <v>3.3857539999999999</v>
      </c>
      <c r="M121" s="2">
        <v>5.9136360000000003</v>
      </c>
      <c r="N121" s="2">
        <v>96.983000000000004</v>
      </c>
      <c r="O121" s="2">
        <v>8.2894000000000005</v>
      </c>
      <c r="P121" s="2">
        <v>1.1195999999999999</v>
      </c>
      <c r="Q121" s="2">
        <v>2377.2815999999998</v>
      </c>
      <c r="R121" s="2">
        <v>1.8496999999999999</v>
      </c>
      <c r="S121" s="2">
        <v>11.480496</v>
      </c>
      <c r="T121" s="2">
        <v>17.523299999999999</v>
      </c>
      <c r="U121" s="2">
        <v>1.8367</v>
      </c>
    </row>
    <row r="122" spans="1:21" customFormat="1" x14ac:dyDescent="0.5">
      <c r="A122" s="1" t="s">
        <v>226</v>
      </c>
      <c r="B122" s="2">
        <v>4.5124570000000004</v>
      </c>
      <c r="C122" s="2">
        <v>10.5779</v>
      </c>
      <c r="D122" s="2">
        <v>2764.7308710000002</v>
      </c>
      <c r="E122" s="5">
        <v>773.77793399999996</v>
      </c>
      <c r="F122" s="2">
        <v>52.109200000000001</v>
      </c>
      <c r="G122" s="2">
        <v>11.0939</v>
      </c>
      <c r="H122" s="2">
        <v>29.185400000000001</v>
      </c>
      <c r="I122" s="2">
        <v>5968.4381000000003</v>
      </c>
      <c r="J122" s="5">
        <v>4.3313290000000002</v>
      </c>
      <c r="K122" s="2">
        <v>28.778600000000001</v>
      </c>
      <c r="L122" s="2">
        <v>3.215214</v>
      </c>
      <c r="M122" s="2">
        <v>5.6157680000000001</v>
      </c>
      <c r="N122" s="2">
        <v>91.464699999999993</v>
      </c>
      <c r="O122" s="2">
        <v>7.8537999999999997</v>
      </c>
      <c r="P122" s="2">
        <v>1.0632999999999999</v>
      </c>
      <c r="Q122" s="2">
        <v>2257.5387000000001</v>
      </c>
      <c r="R122" s="2">
        <v>1.7966</v>
      </c>
      <c r="S122" s="2">
        <v>11.381439</v>
      </c>
      <c r="T122" s="2">
        <v>16.54</v>
      </c>
      <c r="U122" s="2">
        <v>1.8138000000000001</v>
      </c>
    </row>
    <row r="123" spans="1:21" customFormat="1" x14ac:dyDescent="0.5">
      <c r="A123" s="1" t="s">
        <v>227</v>
      </c>
      <c r="B123" s="2">
        <v>4.425878</v>
      </c>
      <c r="C123" s="2">
        <v>10.116099999999999</v>
      </c>
      <c r="D123" s="2">
        <v>2971.9295339999999</v>
      </c>
      <c r="E123" s="5">
        <v>761.82778199999996</v>
      </c>
      <c r="F123" s="2">
        <v>50.221400000000003</v>
      </c>
      <c r="G123" s="2">
        <v>10.723000000000001</v>
      </c>
      <c r="H123" s="2">
        <v>28.1187</v>
      </c>
      <c r="I123" s="2">
        <v>5741.7503999999999</v>
      </c>
      <c r="J123" s="5">
        <v>4.2617060000000002</v>
      </c>
      <c r="K123" s="2">
        <v>29.3797</v>
      </c>
      <c r="L123" s="2">
        <v>3.0851320000000002</v>
      </c>
      <c r="M123" s="2">
        <v>5.3885630000000004</v>
      </c>
      <c r="N123" s="2">
        <v>87.623500000000007</v>
      </c>
      <c r="O123" s="2">
        <v>7.7522000000000002</v>
      </c>
      <c r="P123" s="2">
        <v>1.0202</v>
      </c>
      <c r="Q123" s="2">
        <v>2166.2021</v>
      </c>
      <c r="R123" s="2">
        <v>1.7766999999999999</v>
      </c>
      <c r="S123" s="2">
        <v>11.314401</v>
      </c>
      <c r="T123" s="2">
        <v>16.055099999999999</v>
      </c>
      <c r="U123" s="2">
        <v>1.7949999999999999</v>
      </c>
    </row>
    <row r="124" spans="1:21" customFormat="1" x14ac:dyDescent="0.5">
      <c r="A124" s="1" t="s">
        <v>228</v>
      </c>
      <c r="B124" s="2">
        <v>4.293164</v>
      </c>
      <c r="C124" s="2">
        <v>9.3545999999999996</v>
      </c>
      <c r="D124" s="2">
        <v>3050.2593870000001</v>
      </c>
      <c r="E124" s="5">
        <v>823.83059700000001</v>
      </c>
      <c r="F124" s="2">
        <v>46.744199999999999</v>
      </c>
      <c r="G124" s="2">
        <v>10.0283</v>
      </c>
      <c r="H124" s="2">
        <v>26.1752</v>
      </c>
      <c r="I124" s="2">
        <v>5874.1715000000004</v>
      </c>
      <c r="J124" s="5">
        <v>4.0968080000000002</v>
      </c>
      <c r="K124" s="2">
        <v>29.805599999999998</v>
      </c>
      <c r="L124" s="2">
        <v>2.860252</v>
      </c>
      <c r="M124" s="2">
        <v>4.9957830000000003</v>
      </c>
      <c r="N124" s="2">
        <v>82.941199999999995</v>
      </c>
      <c r="O124" s="2">
        <v>7.0800999999999998</v>
      </c>
      <c r="P124" s="2">
        <v>0.94589999999999996</v>
      </c>
      <c r="Q124" s="2">
        <v>2008.3045999999999</v>
      </c>
      <c r="R124" s="2">
        <v>1.6274</v>
      </c>
      <c r="S124" s="2">
        <v>11.226922</v>
      </c>
      <c r="T124" s="2">
        <v>14.319699999999999</v>
      </c>
      <c r="U124" s="2">
        <v>1.7622</v>
      </c>
    </row>
    <row r="125" spans="1:21" customFormat="1" x14ac:dyDescent="0.5">
      <c r="A125" s="1" t="s">
        <v>229</v>
      </c>
      <c r="B125" s="2">
        <v>4.2097199999999999</v>
      </c>
      <c r="C125" s="2">
        <v>8.9380000000000006</v>
      </c>
      <c r="D125" s="2">
        <v>2964.4706780000001</v>
      </c>
      <c r="E125" s="5">
        <v>829.506575</v>
      </c>
      <c r="F125" s="2">
        <v>44.966000000000001</v>
      </c>
      <c r="G125" s="2">
        <v>9.7217000000000002</v>
      </c>
      <c r="H125" s="2">
        <v>25.118099999999998</v>
      </c>
      <c r="I125" s="2">
        <v>6158.5410000000002</v>
      </c>
      <c r="J125" s="5">
        <v>3.9366530000000002</v>
      </c>
      <c r="K125" s="2">
        <v>30.1586</v>
      </c>
      <c r="L125" s="2">
        <v>2.7335929999999999</v>
      </c>
      <c r="M125" s="2">
        <v>4.7745559999999996</v>
      </c>
      <c r="N125" s="2">
        <v>86.748000000000005</v>
      </c>
      <c r="O125" s="2">
        <v>7.0252999999999997</v>
      </c>
      <c r="P125" s="2">
        <v>0.90400000000000003</v>
      </c>
      <c r="Q125" s="2">
        <v>1919.3715999999999</v>
      </c>
      <c r="R125" s="2">
        <v>1.6583000000000001</v>
      </c>
      <c r="S125" s="2">
        <v>11.059908999999999</v>
      </c>
      <c r="T125" s="2">
        <v>14.286099999999999</v>
      </c>
      <c r="U125" s="2">
        <v>1.7661</v>
      </c>
    </row>
    <row r="126" spans="1:21" customFormat="1" x14ac:dyDescent="0.5">
      <c r="A126" s="1" t="s">
        <v>230</v>
      </c>
      <c r="B126" s="2">
        <v>4.5788900000000003</v>
      </c>
      <c r="C126" s="2">
        <v>9.4414999999999996</v>
      </c>
      <c r="D126" s="2">
        <v>3057.270305</v>
      </c>
      <c r="E126" s="5">
        <v>873.29829600000005</v>
      </c>
      <c r="F126" s="2">
        <v>47.597000000000001</v>
      </c>
      <c r="G126" s="2">
        <v>10.3629</v>
      </c>
      <c r="H126" s="2">
        <v>26.641300000000001</v>
      </c>
      <c r="I126" s="2">
        <v>6579.2480999999998</v>
      </c>
      <c r="J126" s="5">
        <v>4.1878830000000002</v>
      </c>
      <c r="K126" s="2">
        <v>32.753900000000002</v>
      </c>
      <c r="L126" s="2">
        <v>2.8875920000000002</v>
      </c>
      <c r="M126" s="2">
        <v>5.0435359999999996</v>
      </c>
      <c r="N126" s="2">
        <v>95.375799999999998</v>
      </c>
      <c r="O126" s="2">
        <v>7.6543999999999999</v>
      </c>
      <c r="P126" s="2">
        <v>0.95489999999999997</v>
      </c>
      <c r="Q126" s="2">
        <v>2027.5014000000001</v>
      </c>
      <c r="R126" s="2">
        <v>1.7682</v>
      </c>
      <c r="S126" s="2">
        <v>11.174727000000001</v>
      </c>
      <c r="T126" s="2">
        <v>15.6218</v>
      </c>
      <c r="U126" s="2">
        <v>1.8055000000000001</v>
      </c>
    </row>
    <row r="127" spans="1:21" customFormat="1" x14ac:dyDescent="0.5">
      <c r="A127" s="1" t="s">
        <v>231</v>
      </c>
      <c r="B127" s="2">
        <v>4.5592709999999999</v>
      </c>
      <c r="C127" s="2">
        <v>9.2934999999999999</v>
      </c>
      <c r="D127" s="2">
        <v>3007.8330099999998</v>
      </c>
      <c r="E127" s="5">
        <v>825.25280699999996</v>
      </c>
      <c r="F127" s="2">
        <v>46.980200000000004</v>
      </c>
      <c r="G127" s="2">
        <v>10.408099999999999</v>
      </c>
      <c r="H127" s="2">
        <v>26.3325</v>
      </c>
      <c r="I127" s="2">
        <v>6625.9526999999998</v>
      </c>
      <c r="J127" s="5">
        <v>4.1716360000000003</v>
      </c>
      <c r="K127" s="2">
        <v>30.833400000000001</v>
      </c>
      <c r="L127" s="2">
        <v>2.8423419999999999</v>
      </c>
      <c r="M127" s="2">
        <v>4.9645000000000001</v>
      </c>
      <c r="N127" s="2">
        <v>94.516400000000004</v>
      </c>
      <c r="O127" s="2">
        <v>7.0743999999999998</v>
      </c>
      <c r="P127" s="2">
        <v>0.93989999999999996</v>
      </c>
      <c r="Q127" s="2">
        <v>1995.729</v>
      </c>
      <c r="R127" s="2">
        <v>1.6288</v>
      </c>
      <c r="S127" s="2">
        <v>11.138484999999999</v>
      </c>
      <c r="T127" s="2">
        <v>14.385999999999999</v>
      </c>
      <c r="U127" s="2">
        <v>1.8174999999999999</v>
      </c>
    </row>
    <row r="128" spans="1:21" customFormat="1" x14ac:dyDescent="0.5">
      <c r="A128" s="1" t="s">
        <v>232</v>
      </c>
      <c r="B128" s="2">
        <v>4.4658870000000004</v>
      </c>
      <c r="C128" s="2">
        <v>8.9748999999999999</v>
      </c>
      <c r="D128" s="2">
        <v>3214.0325280000002</v>
      </c>
      <c r="E128" s="5">
        <v>774.75026300000002</v>
      </c>
      <c r="F128" s="2">
        <v>45.583300000000001</v>
      </c>
      <c r="G128" s="2">
        <v>10.159800000000001</v>
      </c>
      <c r="H128" s="2">
        <v>25.53</v>
      </c>
      <c r="I128" s="2">
        <v>6529.1463000000003</v>
      </c>
      <c r="J128" s="5">
        <v>4.137257</v>
      </c>
      <c r="K128" s="2">
        <v>29.724699999999999</v>
      </c>
      <c r="L128" s="2">
        <v>2.744875</v>
      </c>
      <c r="M128" s="2">
        <v>4.7942629999999999</v>
      </c>
      <c r="N128" s="2">
        <v>92.334000000000003</v>
      </c>
      <c r="O128" s="2">
        <v>7.0427</v>
      </c>
      <c r="P128" s="2">
        <v>0.90769999999999995</v>
      </c>
      <c r="Q128" s="2">
        <v>1927.2935</v>
      </c>
      <c r="R128" s="2">
        <v>1.6446000000000001</v>
      </c>
      <c r="S128" s="2">
        <v>11.077048</v>
      </c>
      <c r="T128" s="2">
        <v>14.1929</v>
      </c>
      <c r="U128" s="2">
        <v>1.8363</v>
      </c>
    </row>
    <row r="129" spans="1:21" customFormat="1" x14ac:dyDescent="0.5">
      <c r="A129" s="1" t="s">
        <v>233</v>
      </c>
      <c r="B129" s="2">
        <v>4.7523090000000003</v>
      </c>
      <c r="C129" s="2">
        <v>9.1609999999999996</v>
      </c>
      <c r="D129" s="2">
        <v>3232.7140100000001</v>
      </c>
      <c r="E129" s="5">
        <v>792.82865400000003</v>
      </c>
      <c r="F129" s="2">
        <v>46.675199999999997</v>
      </c>
      <c r="G129" s="2">
        <v>10.5412</v>
      </c>
      <c r="H129" s="2">
        <v>26.162400000000002</v>
      </c>
      <c r="I129" s="2">
        <v>6701.0816000000004</v>
      </c>
      <c r="J129" s="5">
        <v>4.1430559999999996</v>
      </c>
      <c r="K129" s="2">
        <v>31.294599999999999</v>
      </c>
      <c r="L129" s="2">
        <v>2.801796</v>
      </c>
      <c r="M129" s="2">
        <v>4.8936820000000001</v>
      </c>
      <c r="N129" s="2">
        <v>95.170599999999993</v>
      </c>
      <c r="O129" s="2">
        <v>7.4923999999999999</v>
      </c>
      <c r="P129" s="2">
        <v>0.92649999999999999</v>
      </c>
      <c r="Q129" s="2">
        <v>1967.2601</v>
      </c>
      <c r="R129" s="2">
        <v>1.7339</v>
      </c>
      <c r="S129" s="2">
        <v>11.105917</v>
      </c>
      <c r="T129" s="2">
        <v>14.9382</v>
      </c>
      <c r="U129" s="2">
        <v>1.8561000000000001</v>
      </c>
    </row>
    <row r="130" spans="1:21" customFormat="1" x14ac:dyDescent="0.5">
      <c r="A130" s="1" t="s">
        <v>234</v>
      </c>
      <c r="B130" s="2">
        <v>4.8439880000000004</v>
      </c>
      <c r="C130" s="2">
        <v>9.2596000000000007</v>
      </c>
      <c r="D130" s="2">
        <v>3137.0793090000002</v>
      </c>
      <c r="E130" s="5">
        <v>769.23191499999996</v>
      </c>
      <c r="F130" s="2">
        <v>47.385100000000001</v>
      </c>
      <c r="G130" s="2">
        <v>10.672700000000001</v>
      </c>
      <c r="H130" s="2">
        <v>26.552099999999999</v>
      </c>
      <c r="I130" s="2">
        <v>6655.1659</v>
      </c>
      <c r="J130" s="5">
        <v>4.0692079999999997</v>
      </c>
      <c r="K130" s="2">
        <v>31.703099999999999</v>
      </c>
      <c r="L130" s="2">
        <v>2.8319570000000001</v>
      </c>
      <c r="M130" s="2">
        <v>4.9463629999999998</v>
      </c>
      <c r="N130" s="2">
        <v>96.451800000000006</v>
      </c>
      <c r="O130" s="2">
        <v>7.4606000000000003</v>
      </c>
      <c r="P130" s="2">
        <v>0.9365</v>
      </c>
      <c r="Q130" s="2">
        <v>1988.4376999999999</v>
      </c>
      <c r="R130" s="2">
        <v>1.7168000000000001</v>
      </c>
      <c r="S130" s="2">
        <v>11.138813000000001</v>
      </c>
      <c r="T130" s="2">
        <v>14.901199999999999</v>
      </c>
      <c r="U130" s="2">
        <v>1.8531</v>
      </c>
    </row>
    <row r="131" spans="1:21" customFormat="1" x14ac:dyDescent="0.5">
      <c r="A131" s="1" t="s">
        <v>235</v>
      </c>
      <c r="B131" s="2">
        <v>5.0590719999999996</v>
      </c>
      <c r="C131" s="2">
        <v>9.5825999999999993</v>
      </c>
      <c r="D131" s="2">
        <v>3050.2484570000001</v>
      </c>
      <c r="E131" s="5">
        <v>772.23325699999998</v>
      </c>
      <c r="F131" s="2">
        <v>49.195300000000003</v>
      </c>
      <c r="G131" s="2">
        <v>11.057399999999999</v>
      </c>
      <c r="H131" s="2">
        <v>27.590599999999998</v>
      </c>
      <c r="I131" s="2">
        <v>6873.72</v>
      </c>
      <c r="J131" s="5">
        <v>4.0870810000000004</v>
      </c>
      <c r="K131" s="2">
        <v>32.344099999999997</v>
      </c>
      <c r="L131" s="2">
        <v>2.930752</v>
      </c>
      <c r="M131" s="2">
        <v>5.118919</v>
      </c>
      <c r="N131" s="2">
        <v>99.137200000000007</v>
      </c>
      <c r="O131" s="2">
        <v>7.9089999999999998</v>
      </c>
      <c r="P131" s="2">
        <v>0.96919999999999995</v>
      </c>
      <c r="Q131" s="2">
        <v>2057.8053</v>
      </c>
      <c r="R131" s="2">
        <v>1.7914000000000001</v>
      </c>
      <c r="S131" s="2">
        <v>11.199785</v>
      </c>
      <c r="T131" s="2">
        <v>15.824999999999999</v>
      </c>
      <c r="U131" s="2">
        <v>1.8745000000000001</v>
      </c>
    </row>
    <row r="132" spans="1:21" customFormat="1" x14ac:dyDescent="0.5">
      <c r="A132" s="1" t="s">
        <v>236</v>
      </c>
      <c r="B132" s="2">
        <v>5.2553029999999996</v>
      </c>
      <c r="C132" s="2">
        <v>9.8396000000000008</v>
      </c>
      <c r="D132" s="2">
        <v>2921.3987189999998</v>
      </c>
      <c r="E132" s="5">
        <v>775.22206800000004</v>
      </c>
      <c r="F132" s="2">
        <v>50.465000000000003</v>
      </c>
      <c r="G132" s="2">
        <v>11.3954</v>
      </c>
      <c r="H132" s="2">
        <v>28.446100000000001</v>
      </c>
      <c r="I132" s="2">
        <v>7041.2660999999998</v>
      </c>
      <c r="J132" s="5">
        <v>4.1916209999999996</v>
      </c>
      <c r="K132" s="2">
        <v>32.785499999999999</v>
      </c>
      <c r="L132" s="2">
        <v>3.0093329999999998</v>
      </c>
      <c r="M132" s="2">
        <v>5.25617</v>
      </c>
      <c r="N132" s="2">
        <v>102.557</v>
      </c>
      <c r="O132" s="2">
        <v>7.915</v>
      </c>
      <c r="P132" s="2">
        <v>0.99519999999999997</v>
      </c>
      <c r="Q132" s="2">
        <v>2112.9805000000001</v>
      </c>
      <c r="R132" s="2">
        <v>1.7679</v>
      </c>
      <c r="S132" s="2">
        <v>11.263483000000001</v>
      </c>
      <c r="T132" s="2">
        <v>15.865399999999999</v>
      </c>
      <c r="U132" s="2">
        <v>1.8939999999999999</v>
      </c>
    </row>
    <row r="133" spans="1:21" customFormat="1" x14ac:dyDescent="0.5">
      <c r="A133" s="1" t="s">
        <v>237</v>
      </c>
      <c r="B133" s="2">
        <v>5.33866</v>
      </c>
      <c r="C133" s="2">
        <v>9.8895999999999997</v>
      </c>
      <c r="D133" s="2">
        <v>2887.4621269999998</v>
      </c>
      <c r="E133" s="5">
        <v>761.32724800000005</v>
      </c>
      <c r="F133" s="2">
        <v>50.810200000000002</v>
      </c>
      <c r="G133" s="2">
        <v>11.519299999999999</v>
      </c>
      <c r="H133" s="2">
        <v>28.7075</v>
      </c>
      <c r="I133" s="2">
        <v>7052.4228999999996</v>
      </c>
      <c r="J133" s="5">
        <v>4.2439179999999999</v>
      </c>
      <c r="K133" s="2">
        <v>32.958399999999997</v>
      </c>
      <c r="L133" s="2">
        <v>3.0246279999999999</v>
      </c>
      <c r="M133" s="2">
        <v>5.2828860000000004</v>
      </c>
      <c r="N133" s="2">
        <v>103.2197</v>
      </c>
      <c r="O133" s="2">
        <v>7.8688000000000002</v>
      </c>
      <c r="P133" s="2">
        <v>1.0002</v>
      </c>
      <c r="Q133" s="2">
        <v>2123.7201</v>
      </c>
      <c r="R133" s="2">
        <v>1.7604</v>
      </c>
      <c r="S133" s="2">
        <v>10.783144999999999</v>
      </c>
      <c r="T133" s="2">
        <v>15.869899999999999</v>
      </c>
      <c r="U133" s="2">
        <v>1.8813</v>
      </c>
    </row>
    <row r="134" spans="1:21" customFormat="1" x14ac:dyDescent="0.5">
      <c r="A134" s="1" t="s">
        <v>238</v>
      </c>
      <c r="B134" s="2">
        <v>5.4494490000000004</v>
      </c>
      <c r="C134" s="2">
        <v>10.0161</v>
      </c>
      <c r="D134" s="2">
        <v>2880.5110330000002</v>
      </c>
      <c r="E134" s="5">
        <v>780.28838399999995</v>
      </c>
      <c r="F134" s="2">
        <v>51.5092</v>
      </c>
      <c r="G134" s="2">
        <v>11.787699999999999</v>
      </c>
      <c r="H134" s="2">
        <v>29.195699999999999</v>
      </c>
      <c r="I134" s="2">
        <v>7065.7174000000005</v>
      </c>
      <c r="J134" s="5">
        <v>4.2097730000000002</v>
      </c>
      <c r="K134" s="2">
        <v>32.605699999999999</v>
      </c>
      <c r="L134" s="2">
        <v>3.0633400000000002</v>
      </c>
      <c r="M134" s="2">
        <v>5.3505000000000003</v>
      </c>
      <c r="N134" s="2">
        <v>104.1417</v>
      </c>
      <c r="O134" s="2">
        <v>7.8897000000000004</v>
      </c>
      <c r="P134" s="2">
        <v>1.0129999999999999</v>
      </c>
      <c r="Q134" s="2">
        <v>2150.9009999999998</v>
      </c>
      <c r="R134" s="2">
        <v>1.7676000000000001</v>
      </c>
      <c r="S134" s="2">
        <v>11.301683000000001</v>
      </c>
      <c r="T134" s="2">
        <v>16.020299999999999</v>
      </c>
      <c r="U134" s="2">
        <v>1.8871</v>
      </c>
    </row>
    <row r="135" spans="1:21" customFormat="1" x14ac:dyDescent="0.5">
      <c r="A135" s="1" t="s">
        <v>239</v>
      </c>
      <c r="B135" s="2">
        <v>5.5657880000000004</v>
      </c>
      <c r="C135" s="2">
        <v>10.222300000000001</v>
      </c>
      <c r="D135" s="2">
        <v>2884.4067909999999</v>
      </c>
      <c r="E135" s="5">
        <v>799.53715499999998</v>
      </c>
      <c r="F135" s="2">
        <v>52.612499999999997</v>
      </c>
      <c r="G135" s="2">
        <v>12.1089</v>
      </c>
      <c r="H135" s="2">
        <v>29.918199999999999</v>
      </c>
      <c r="I135" s="2">
        <v>7178.8867</v>
      </c>
      <c r="J135" s="5">
        <v>4.236999</v>
      </c>
      <c r="K135" s="2">
        <v>31.950399999999998</v>
      </c>
      <c r="L135" s="2">
        <v>3.1263830000000001</v>
      </c>
      <c r="M135" s="2">
        <v>5.4606139999999996</v>
      </c>
      <c r="N135" s="2">
        <v>105.7106</v>
      </c>
      <c r="O135" s="2">
        <v>8.0594000000000001</v>
      </c>
      <c r="P135" s="2">
        <v>1.0339</v>
      </c>
      <c r="Q135" s="2">
        <v>2195.1667000000002</v>
      </c>
      <c r="R135" s="2">
        <v>1.7932999999999999</v>
      </c>
      <c r="S135" s="2">
        <v>11.313955</v>
      </c>
      <c r="T135" s="2">
        <v>16.436800000000002</v>
      </c>
      <c r="U135" s="2">
        <v>1.8968</v>
      </c>
    </row>
    <row r="136" spans="1:21" customFormat="1" x14ac:dyDescent="0.5">
      <c r="A136" s="1" t="s">
        <v>240</v>
      </c>
      <c r="B136" s="2">
        <v>5.6393899999999997</v>
      </c>
      <c r="C136" s="2">
        <v>10.4011</v>
      </c>
      <c r="D136" s="2">
        <v>2811.9341559999998</v>
      </c>
      <c r="E136" s="5">
        <v>808.72581000000002</v>
      </c>
      <c r="F136" s="2">
        <v>53.5762</v>
      </c>
      <c r="G136" s="2">
        <v>12.3658</v>
      </c>
      <c r="H136" s="2">
        <v>30.565999999999999</v>
      </c>
      <c r="I136" s="2">
        <v>7224.9922999999999</v>
      </c>
      <c r="J136" s="5">
        <v>4.2549630000000001</v>
      </c>
      <c r="K136" s="2">
        <v>30.8477</v>
      </c>
      <c r="L136" s="2">
        <v>3.181073</v>
      </c>
      <c r="M136" s="2">
        <v>5.5561360000000004</v>
      </c>
      <c r="N136" s="2">
        <v>107.0733</v>
      </c>
      <c r="O136" s="2">
        <v>8.0847999999999995</v>
      </c>
      <c r="P136" s="2">
        <v>1.052</v>
      </c>
      <c r="Q136" s="2">
        <v>2233.5668000000001</v>
      </c>
      <c r="R136" s="2">
        <v>1.7991999999999999</v>
      </c>
      <c r="S136" s="2">
        <v>11.368003</v>
      </c>
      <c r="T136" s="2">
        <v>16.613</v>
      </c>
      <c r="U136" s="2">
        <v>1.9116</v>
      </c>
    </row>
    <row r="137" spans="1:21" customFormat="1" x14ac:dyDescent="0.5">
      <c r="A137" s="1" t="s">
        <v>241</v>
      </c>
      <c r="B137" s="2">
        <v>5.6537800000000002</v>
      </c>
      <c r="C137" s="2">
        <v>10.47</v>
      </c>
      <c r="D137" s="2">
        <v>2945.4253640000002</v>
      </c>
      <c r="E137" s="5">
        <v>757.32940299999996</v>
      </c>
      <c r="F137" s="2">
        <v>53.941699999999997</v>
      </c>
      <c r="G137" s="2">
        <v>12.3855</v>
      </c>
      <c r="H137" s="2">
        <v>30.894100000000002</v>
      </c>
      <c r="I137" s="2">
        <v>7203.692</v>
      </c>
      <c r="J137" s="5">
        <v>4.3020810000000003</v>
      </c>
      <c r="K137" s="2">
        <v>30.517099999999999</v>
      </c>
      <c r="L137" s="2">
        <v>3.2021380000000002</v>
      </c>
      <c r="M137" s="2">
        <v>5.5929289999999998</v>
      </c>
      <c r="N137" s="2">
        <v>107.7578</v>
      </c>
      <c r="O137" s="2">
        <v>8.1881000000000004</v>
      </c>
      <c r="P137" s="2">
        <v>1.0589</v>
      </c>
      <c r="Q137" s="2">
        <v>2248.3573000000001</v>
      </c>
      <c r="R137" s="2">
        <v>1.8145</v>
      </c>
      <c r="S137" s="2">
        <v>11.379595999999999</v>
      </c>
      <c r="T137" s="2">
        <v>16.863299999999999</v>
      </c>
      <c r="U137" s="2">
        <v>1.9184000000000001</v>
      </c>
    </row>
    <row r="138" spans="1:21" customFormat="1" x14ac:dyDescent="0.5">
      <c r="A138" s="1" t="s">
        <v>242</v>
      </c>
      <c r="B138" s="2">
        <v>5.5334009999999996</v>
      </c>
      <c r="C138" s="2">
        <v>10.258699999999999</v>
      </c>
      <c r="D138" s="2">
        <v>2947.1295209999998</v>
      </c>
      <c r="E138" s="5">
        <v>732.79851599999995</v>
      </c>
      <c r="F138" s="2">
        <v>52.842199999999998</v>
      </c>
      <c r="G138" s="2">
        <v>12.167299999999999</v>
      </c>
      <c r="H138" s="2">
        <v>30.394500000000001</v>
      </c>
      <c r="I138" s="2">
        <v>6801.1652000000004</v>
      </c>
      <c r="J138" s="5">
        <v>4.2050609999999997</v>
      </c>
      <c r="K138" s="2">
        <v>28.793900000000001</v>
      </c>
      <c r="L138" s="2">
        <v>3.1375380000000002</v>
      </c>
      <c r="M138" s="2">
        <v>5.4800969999999998</v>
      </c>
      <c r="N138" s="2">
        <v>106.5829</v>
      </c>
      <c r="O138" s="2">
        <v>7.8856000000000002</v>
      </c>
      <c r="P138" s="2">
        <v>1.0376000000000001</v>
      </c>
      <c r="Q138" s="2">
        <v>2202.9987999999998</v>
      </c>
      <c r="R138" s="2">
        <v>1.7595000000000001</v>
      </c>
      <c r="S138" s="2">
        <v>11.346138</v>
      </c>
      <c r="T138" s="2">
        <v>16.1707</v>
      </c>
      <c r="U138" s="2">
        <v>1.9075</v>
      </c>
    </row>
    <row r="139" spans="1:21" customFormat="1" x14ac:dyDescent="0.5">
      <c r="A139" s="1" t="s">
        <v>243</v>
      </c>
      <c r="B139" s="2">
        <v>5.4326749999999997</v>
      </c>
      <c r="C139" s="2">
        <v>10.019</v>
      </c>
      <c r="D139" s="2">
        <v>2822.57609</v>
      </c>
      <c r="E139" s="5">
        <v>714.54695900000002</v>
      </c>
      <c r="F139" s="2">
        <v>51.645800000000001</v>
      </c>
      <c r="G139" s="2">
        <v>11.9428</v>
      </c>
      <c r="H139" s="2">
        <v>29.807400000000001</v>
      </c>
      <c r="I139" s="2">
        <v>6678.9859999999999</v>
      </c>
      <c r="J139" s="5">
        <v>4.0768250000000004</v>
      </c>
      <c r="K139" s="2">
        <v>27.951799999999999</v>
      </c>
      <c r="L139" s="2">
        <v>3.5665979999999999</v>
      </c>
      <c r="M139" s="2">
        <v>5.3520380000000003</v>
      </c>
      <c r="N139" s="2">
        <v>104.0766</v>
      </c>
      <c r="O139" s="2">
        <v>7.5937000000000001</v>
      </c>
      <c r="P139" s="2">
        <v>1.0133000000000001</v>
      </c>
      <c r="Q139" s="2">
        <v>2151.5191</v>
      </c>
      <c r="R139" s="2">
        <v>1.7244999999999999</v>
      </c>
      <c r="S139" s="2">
        <v>11.30279</v>
      </c>
      <c r="T139" s="2">
        <v>15.6768</v>
      </c>
      <c r="U139" s="2">
        <v>1.8917999999999999</v>
      </c>
    </row>
    <row r="140" spans="1:21" customFormat="1" x14ac:dyDescent="0.5">
      <c r="A140" s="1" t="s">
        <v>244</v>
      </c>
      <c r="B140" s="2">
        <v>5.276179</v>
      </c>
      <c r="C140" s="2">
        <v>9.6074000000000002</v>
      </c>
      <c r="D140" s="2">
        <v>2672.6700890000002</v>
      </c>
      <c r="E140" s="5">
        <v>728.84563900000001</v>
      </c>
      <c r="F140" s="2">
        <v>49.644399999999997</v>
      </c>
      <c r="G140" s="2">
        <v>11.152799999999999</v>
      </c>
      <c r="H140" s="2">
        <v>28.695699999999999</v>
      </c>
      <c r="I140" s="2">
        <v>6439.7920999999997</v>
      </c>
      <c r="J140" s="5">
        <v>3.9058989999999998</v>
      </c>
      <c r="K140" s="2">
        <v>27.050699999999999</v>
      </c>
      <c r="L140" s="2">
        <v>3.5493860000000002</v>
      </c>
      <c r="M140" s="2">
        <v>5.1321380000000003</v>
      </c>
      <c r="N140" s="2">
        <v>100.6208</v>
      </c>
      <c r="O140" s="2">
        <v>7.4249999999999998</v>
      </c>
      <c r="P140" s="2">
        <v>0.97170000000000001</v>
      </c>
      <c r="Q140" s="2">
        <v>2063.1192999999998</v>
      </c>
      <c r="R140" s="2">
        <v>1.7048000000000001</v>
      </c>
      <c r="S140" s="2">
        <v>11.221590000000001</v>
      </c>
      <c r="T140" s="2">
        <v>15.2323</v>
      </c>
      <c r="U140" s="2">
        <v>1.8898999999999999</v>
      </c>
    </row>
    <row r="141" spans="1:21" customFormat="1" x14ac:dyDescent="0.5">
      <c r="A141" s="1" t="s">
        <v>245</v>
      </c>
      <c r="B141" s="2">
        <v>5.2141469999999996</v>
      </c>
      <c r="C141" s="2">
        <v>9.5251000000000001</v>
      </c>
      <c r="D141" s="2">
        <v>2591.7982870000001</v>
      </c>
      <c r="E141" s="5">
        <v>709.85078299999998</v>
      </c>
      <c r="F141" s="2">
        <v>49.345799999999997</v>
      </c>
      <c r="G141" s="2">
        <v>10.886699999999999</v>
      </c>
      <c r="H141" s="2">
        <v>28.5624</v>
      </c>
      <c r="I141" s="2">
        <v>6375.3694999999998</v>
      </c>
      <c r="J141" s="5">
        <v>3.8525100000000001</v>
      </c>
      <c r="K141" s="2">
        <v>26.6069</v>
      </c>
      <c r="L141" s="2">
        <v>3.518996</v>
      </c>
      <c r="M141" s="2">
        <v>5.0881959999999999</v>
      </c>
      <c r="N141" s="2">
        <v>99.6661</v>
      </c>
      <c r="O141" s="2">
        <v>7.3798000000000004</v>
      </c>
      <c r="P141" s="2">
        <v>0.96340000000000003</v>
      </c>
      <c r="Q141" s="2">
        <v>2045.4547</v>
      </c>
      <c r="R141" s="2">
        <v>1.7052</v>
      </c>
      <c r="S141" s="2">
        <v>11.197016</v>
      </c>
      <c r="T141" s="2">
        <v>15.1302</v>
      </c>
      <c r="U141" s="2">
        <v>1.8886000000000001</v>
      </c>
    </row>
    <row r="142" spans="1:21" customFormat="1" x14ac:dyDescent="0.5">
      <c r="A142" s="1" t="s">
        <v>246</v>
      </c>
      <c r="B142" s="2">
        <v>5.1693020000000001</v>
      </c>
      <c r="C142" s="2">
        <v>9.4108000000000001</v>
      </c>
      <c r="D142" s="2">
        <v>2596.9239809999999</v>
      </c>
      <c r="E142" s="5">
        <v>697.92755299999999</v>
      </c>
      <c r="F142" s="2">
        <v>48.937800000000003</v>
      </c>
      <c r="G142" s="2">
        <v>10.7315</v>
      </c>
      <c r="H142" s="2">
        <v>28.335000000000001</v>
      </c>
      <c r="I142" s="2">
        <v>6308.9969000000001</v>
      </c>
      <c r="J142" s="5">
        <v>3.8070849999999998</v>
      </c>
      <c r="K142" s="2">
        <v>25.939499999999999</v>
      </c>
      <c r="L142" s="2">
        <v>3.4194559999999998</v>
      </c>
      <c r="M142" s="2">
        <v>5.0271379999999999</v>
      </c>
      <c r="N142" s="2">
        <v>98.6875</v>
      </c>
      <c r="O142" s="2">
        <v>7.3390000000000004</v>
      </c>
      <c r="P142" s="2">
        <v>0.95179999999999998</v>
      </c>
      <c r="Q142" s="2">
        <v>2020.9093</v>
      </c>
      <c r="R142" s="2">
        <v>1.6959</v>
      </c>
      <c r="S142" s="2">
        <v>11.170970000000001</v>
      </c>
      <c r="T142" s="2">
        <v>14.946099999999999</v>
      </c>
      <c r="U142" s="2">
        <v>1.8928</v>
      </c>
    </row>
    <row r="143" spans="1:21" customFormat="1" x14ac:dyDescent="0.5">
      <c r="A143" s="1" t="s">
        <v>247</v>
      </c>
      <c r="B143" s="2">
        <v>4.8784580000000002</v>
      </c>
      <c r="C143" s="2">
        <v>8.8209</v>
      </c>
      <c r="D143" s="2">
        <v>2493.1971050000002</v>
      </c>
      <c r="E143" s="5">
        <v>669.99613899999997</v>
      </c>
      <c r="F143" s="2">
        <v>46.232500000000002</v>
      </c>
      <c r="G143" s="2">
        <v>10.051</v>
      </c>
      <c r="H143" s="2">
        <v>26.667200000000001</v>
      </c>
      <c r="I143" s="2">
        <v>5962.8035</v>
      </c>
      <c r="J143" s="5">
        <v>3.575466</v>
      </c>
      <c r="K143" s="2">
        <v>24.203600000000002</v>
      </c>
      <c r="L143" s="2">
        <v>3.2588189999999999</v>
      </c>
      <c r="M143" s="2">
        <v>4.7119999999999997</v>
      </c>
      <c r="N143" s="2">
        <v>94.036699999999996</v>
      </c>
      <c r="O143" s="2">
        <v>6.8971</v>
      </c>
      <c r="P143" s="2">
        <v>0.8921</v>
      </c>
      <c r="Q143" s="2">
        <v>1894.2239999999999</v>
      </c>
      <c r="R143" s="2">
        <v>1.6071</v>
      </c>
      <c r="S143" s="2">
        <v>11.052719</v>
      </c>
      <c r="T143" s="2">
        <v>13.8146</v>
      </c>
      <c r="U143" s="2">
        <v>1.8682000000000001</v>
      </c>
    </row>
    <row r="144" spans="1:21" customFormat="1" x14ac:dyDescent="0.5">
      <c r="A144" s="1" t="s">
        <v>248</v>
      </c>
      <c r="B144" s="2">
        <v>4.7682909999999996</v>
      </c>
      <c r="C144" s="2">
        <v>8.5703999999999994</v>
      </c>
      <c r="D144" s="2">
        <v>2351.6885609999999</v>
      </c>
      <c r="E144" s="5">
        <v>655.19357000000002</v>
      </c>
      <c r="F144" s="2">
        <v>44.942399999999999</v>
      </c>
      <c r="G144" s="2">
        <v>9.7788000000000004</v>
      </c>
      <c r="H144" s="2">
        <v>26.015799999999999</v>
      </c>
      <c r="I144" s="2">
        <v>5807.1805999999997</v>
      </c>
      <c r="J144" s="5">
        <v>3.4648940000000001</v>
      </c>
      <c r="K144" s="2">
        <v>24.972999999999999</v>
      </c>
      <c r="L144" s="2">
        <v>3.166274</v>
      </c>
      <c r="M144" s="2">
        <v>4.5781879999999999</v>
      </c>
      <c r="N144" s="2">
        <v>92.344399999999993</v>
      </c>
      <c r="O144" s="2">
        <v>6.9507000000000003</v>
      </c>
      <c r="P144" s="2">
        <v>0.86680000000000001</v>
      </c>
      <c r="Q144" s="2">
        <v>1840.4313999999999</v>
      </c>
      <c r="R144" s="2">
        <v>1.6149</v>
      </c>
      <c r="S144" s="2">
        <v>10.98179</v>
      </c>
      <c r="T144" s="2">
        <v>13.7742</v>
      </c>
      <c r="U144" s="2">
        <v>1.8511</v>
      </c>
    </row>
    <row r="145" spans="1:21" customFormat="1" x14ac:dyDescent="0.5">
      <c r="A145" s="1" t="s">
        <v>249</v>
      </c>
      <c r="B145" s="2">
        <v>4.9989080000000001</v>
      </c>
      <c r="C145" s="2">
        <v>8.9644999999999992</v>
      </c>
      <c r="D145" s="2">
        <v>2392.6906370000002</v>
      </c>
      <c r="E145" s="5">
        <v>679.00644</v>
      </c>
      <c r="F145" s="2">
        <v>47.097200000000001</v>
      </c>
      <c r="G145" s="2">
        <v>10.2233</v>
      </c>
      <c r="H145" s="2">
        <v>27.323499999999999</v>
      </c>
      <c r="I145" s="2">
        <v>6078.6349</v>
      </c>
      <c r="J145" s="5">
        <v>3.6047159999999998</v>
      </c>
      <c r="K145" s="2">
        <v>26.934699999999999</v>
      </c>
      <c r="L145" s="2">
        <v>3.3118690000000002</v>
      </c>
      <c r="M145" s="2">
        <v>4.7887500000000003</v>
      </c>
      <c r="N145" s="2">
        <v>95.734899999999996</v>
      </c>
      <c r="O145" s="2">
        <v>7.4067999999999996</v>
      </c>
      <c r="P145" s="2">
        <v>0.90669999999999995</v>
      </c>
      <c r="Q145" s="2">
        <v>1925.0775000000001</v>
      </c>
      <c r="R145" s="2">
        <v>1.6737</v>
      </c>
      <c r="S145" s="2">
        <v>11.081295000000001</v>
      </c>
      <c r="T145" s="2">
        <v>14.623900000000001</v>
      </c>
      <c r="U145" s="2">
        <v>1.8875</v>
      </c>
    </row>
    <row r="146" spans="1:21" customFormat="1" x14ac:dyDescent="0.5">
      <c r="A146" s="1" t="s">
        <v>250</v>
      </c>
      <c r="B146" s="2">
        <v>5.0520579999999997</v>
      </c>
      <c r="C146" s="2">
        <v>9.0517000000000003</v>
      </c>
      <c r="D146" s="2">
        <v>2344.1628989999999</v>
      </c>
      <c r="E146" s="5">
        <v>656.72646799999995</v>
      </c>
      <c r="F146" s="2">
        <v>47.690899999999999</v>
      </c>
      <c r="G146" s="2">
        <v>10.3353</v>
      </c>
      <c r="H146" s="2">
        <v>27.703700000000001</v>
      </c>
      <c r="I146" s="2">
        <v>6136.5344999999998</v>
      </c>
      <c r="J146" s="5">
        <v>3.6129500000000001</v>
      </c>
      <c r="K146" s="2">
        <v>26.895800000000001</v>
      </c>
      <c r="L146" s="2">
        <v>3.344106</v>
      </c>
      <c r="M146" s="2">
        <v>4.835318</v>
      </c>
      <c r="N146" s="2">
        <v>97.259799999999998</v>
      </c>
      <c r="O146" s="2">
        <v>7.2035999999999998</v>
      </c>
      <c r="P146" s="2">
        <v>0.91549999999999998</v>
      </c>
      <c r="Q146" s="2">
        <v>1943.7979</v>
      </c>
      <c r="R146" s="2">
        <v>1.6144000000000001</v>
      </c>
      <c r="S146" s="2">
        <v>11.088481</v>
      </c>
      <c r="T146" s="2">
        <v>14.2333</v>
      </c>
      <c r="U146" s="2">
        <v>1.8924000000000001</v>
      </c>
    </row>
    <row r="147" spans="1:21" customFormat="1" x14ac:dyDescent="0.5">
      <c r="A147" s="1" t="s">
        <v>251</v>
      </c>
      <c r="B147" s="2">
        <v>5.1383010000000002</v>
      </c>
      <c r="C147" s="2">
        <v>9.173</v>
      </c>
      <c r="D147" s="2">
        <v>2358.9999520000001</v>
      </c>
      <c r="E147" s="5">
        <v>645.41833099999997</v>
      </c>
      <c r="F147" s="2">
        <v>48.434699999999999</v>
      </c>
      <c r="G147" s="2">
        <v>10.555899999999999</v>
      </c>
      <c r="H147" s="2">
        <v>28.189800000000002</v>
      </c>
      <c r="I147" s="2">
        <v>6257.5771999999997</v>
      </c>
      <c r="J147" s="5">
        <v>3.646477</v>
      </c>
      <c r="K147" s="2">
        <v>26.8659</v>
      </c>
      <c r="L147" s="2">
        <v>3.3889260000000001</v>
      </c>
      <c r="M147" s="2">
        <v>4.9001250000000001</v>
      </c>
      <c r="N147" s="2">
        <v>98.475800000000007</v>
      </c>
      <c r="O147" s="2">
        <v>7.7668999999999997</v>
      </c>
      <c r="P147" s="2">
        <v>0.92779999999999996</v>
      </c>
      <c r="Q147" s="2">
        <v>1969.8503000000001</v>
      </c>
      <c r="R147" s="2">
        <v>1.7271000000000001</v>
      </c>
      <c r="S147" s="2">
        <v>11.110609</v>
      </c>
      <c r="T147" s="2">
        <v>15.319900000000001</v>
      </c>
      <c r="U147" s="2">
        <v>1.9084000000000001</v>
      </c>
    </row>
    <row r="148" spans="1:21" customFormat="1" x14ac:dyDescent="0.5">
      <c r="A148" s="1" t="s">
        <v>252</v>
      </c>
      <c r="B148" s="2">
        <v>5.4708360000000003</v>
      </c>
      <c r="C148" s="2">
        <v>9.7562999999999995</v>
      </c>
      <c r="D148" s="2">
        <v>2513.7261480000002</v>
      </c>
      <c r="E148" s="5">
        <v>672.70957199999998</v>
      </c>
      <c r="F148" s="2">
        <v>51.8262</v>
      </c>
      <c r="G148" s="2">
        <v>11.199</v>
      </c>
      <c r="H148" s="2">
        <v>30.104600000000001</v>
      </c>
      <c r="I148" s="2">
        <v>6841.4746999999998</v>
      </c>
      <c r="J148" s="5">
        <v>3.8795739999999999</v>
      </c>
      <c r="K148" s="2">
        <v>28.094000000000001</v>
      </c>
      <c r="L148" s="2">
        <v>3.6043970000000001</v>
      </c>
      <c r="M148" s="2">
        <v>5.2116790000000002</v>
      </c>
      <c r="N148" s="2">
        <v>103.1857</v>
      </c>
      <c r="O148" s="2">
        <v>7.9189999999999996</v>
      </c>
      <c r="P148" s="2">
        <v>0.98670000000000002</v>
      </c>
      <c r="Q148" s="2">
        <v>2095.0947999999999</v>
      </c>
      <c r="R148" s="2">
        <v>1.7056</v>
      </c>
      <c r="S148" s="2">
        <v>11.24708</v>
      </c>
      <c r="T148" s="2">
        <v>15.554500000000001</v>
      </c>
      <c r="U148" s="2">
        <v>1.9417</v>
      </c>
    </row>
    <row r="149" spans="1:21" customFormat="1" x14ac:dyDescent="0.5">
      <c r="A149" s="1" t="s">
        <v>253</v>
      </c>
      <c r="B149" s="2">
        <v>5.3941249999999998</v>
      </c>
      <c r="C149" s="2">
        <v>9.5762999999999998</v>
      </c>
      <c r="D149" s="2">
        <v>2544.8249409999999</v>
      </c>
      <c r="E149" s="5">
        <v>658.89516000000003</v>
      </c>
      <c r="F149" s="2">
        <v>50.948700000000002</v>
      </c>
      <c r="G149" s="2">
        <v>10.935499999999999</v>
      </c>
      <c r="H149" s="2">
        <v>29.712399999999999</v>
      </c>
      <c r="I149" s="2">
        <v>6541.6710000000003</v>
      </c>
      <c r="J149" s="5">
        <v>3.8327170000000002</v>
      </c>
      <c r="K149" s="2">
        <v>27.2835</v>
      </c>
      <c r="L149" s="2">
        <v>3.5429689999999998</v>
      </c>
      <c r="M149" s="2">
        <v>5.1228579999999999</v>
      </c>
      <c r="N149" s="2">
        <v>101.4271</v>
      </c>
      <c r="O149" s="2">
        <v>7.4663000000000004</v>
      </c>
      <c r="P149" s="2">
        <v>0.96989999999999998</v>
      </c>
      <c r="Q149" s="2">
        <v>2059.3888999999999</v>
      </c>
      <c r="R149" s="2">
        <v>1.6081000000000001</v>
      </c>
      <c r="S149" s="2">
        <v>11.206901</v>
      </c>
      <c r="T149" s="2">
        <v>14.590299999999999</v>
      </c>
      <c r="U149" s="2">
        <v>1.9296</v>
      </c>
    </row>
    <row r="150" spans="1:21" customFormat="1" x14ac:dyDescent="0.5">
      <c r="A150" s="1" t="s">
        <v>254</v>
      </c>
      <c r="B150" s="2">
        <v>5.2308750000000002</v>
      </c>
      <c r="C150" s="2">
        <v>9.2408999999999999</v>
      </c>
      <c r="D150" s="2">
        <v>2546.0690949999998</v>
      </c>
      <c r="E150" s="5">
        <v>627.66535299999998</v>
      </c>
      <c r="F150" s="2">
        <v>49.436900000000001</v>
      </c>
      <c r="G150" s="2">
        <v>10.544600000000001</v>
      </c>
      <c r="H150" s="2">
        <v>28.870999999999999</v>
      </c>
      <c r="I150" s="2">
        <v>6331.9004999999997</v>
      </c>
      <c r="J150" s="5">
        <v>3.7223920000000001</v>
      </c>
      <c r="K150" s="2">
        <v>26.4223</v>
      </c>
      <c r="L150" s="2">
        <v>3.4286409999999998</v>
      </c>
      <c r="M150" s="2">
        <v>4.9575490000000002</v>
      </c>
      <c r="N150" s="2">
        <v>98.3399</v>
      </c>
      <c r="O150" s="2">
        <v>7.7267999999999999</v>
      </c>
      <c r="P150" s="2">
        <v>0.93859999999999999</v>
      </c>
      <c r="Q150" s="2">
        <v>1992.9347</v>
      </c>
      <c r="R150" s="2">
        <v>1.6814</v>
      </c>
      <c r="S150" s="2">
        <v>11.149858</v>
      </c>
      <c r="T150" s="2">
        <v>14.998799999999999</v>
      </c>
      <c r="U150" s="2">
        <v>1.9139999999999999</v>
      </c>
    </row>
    <row r="151" spans="1:21" customFormat="1" x14ac:dyDescent="0.5">
      <c r="A151" s="1" t="s">
        <v>255</v>
      </c>
      <c r="B151" s="2">
        <v>5.293736</v>
      </c>
      <c r="C151" s="2">
        <v>9.3384</v>
      </c>
      <c r="D151" s="2">
        <v>2489.9838580000001</v>
      </c>
      <c r="E151" s="5">
        <v>653.87552500000004</v>
      </c>
      <c r="F151" s="2">
        <v>50.151600000000002</v>
      </c>
      <c r="G151" s="2">
        <v>10.6212</v>
      </c>
      <c r="H151" s="2">
        <v>29.296900000000001</v>
      </c>
      <c r="I151" s="2">
        <v>6148.1453000000001</v>
      </c>
      <c r="J151" s="5">
        <v>3.7233390000000002</v>
      </c>
      <c r="K151" s="2">
        <v>26.542899999999999</v>
      </c>
      <c r="L151" s="2">
        <v>5.7303620000000004</v>
      </c>
      <c r="M151" s="2">
        <v>5.0098750000000001</v>
      </c>
      <c r="N151" s="2">
        <v>98.051000000000002</v>
      </c>
      <c r="O151" s="2">
        <v>7.9377000000000004</v>
      </c>
      <c r="P151" s="2">
        <v>0.94850000000000001</v>
      </c>
      <c r="Q151" s="2">
        <v>2013.9698000000001</v>
      </c>
      <c r="R151" s="2">
        <v>1.7107000000000001</v>
      </c>
      <c r="S151" s="2">
        <v>11.151982</v>
      </c>
      <c r="T151" s="2">
        <v>64.188100000000006</v>
      </c>
      <c r="U151" s="2">
        <v>1.9214</v>
      </c>
    </row>
    <row r="152" spans="1:21" customFormat="1" x14ac:dyDescent="0.5">
      <c r="A152" s="1" t="s">
        <v>256</v>
      </c>
      <c r="B152" s="2">
        <v>5.4627189999999999</v>
      </c>
      <c r="C152" s="2">
        <v>9.5221</v>
      </c>
      <c r="D152" s="2">
        <v>2574.4626739999999</v>
      </c>
      <c r="E152" s="5">
        <v>649.26690299999996</v>
      </c>
      <c r="F152" s="2">
        <v>51.4846</v>
      </c>
      <c r="G152" s="2">
        <v>10.6562</v>
      </c>
      <c r="H152" s="2">
        <v>30.049600000000002</v>
      </c>
      <c r="I152" s="2">
        <v>6259.777</v>
      </c>
      <c r="J152" s="5">
        <v>3.7814420000000002</v>
      </c>
      <c r="K152" s="2">
        <v>26.732299999999999</v>
      </c>
      <c r="L152" s="2">
        <v>5.854444</v>
      </c>
      <c r="M152" s="2">
        <v>5.1183560000000003</v>
      </c>
      <c r="N152" s="2">
        <v>99.466499999999996</v>
      </c>
      <c r="O152" s="2">
        <v>8.1392000000000007</v>
      </c>
      <c r="P152" s="2">
        <v>0.96909999999999996</v>
      </c>
      <c r="Q152" s="2">
        <v>2057.5792000000001</v>
      </c>
      <c r="R152" s="2">
        <v>1.7104999999999999</v>
      </c>
      <c r="S152" s="2">
        <v>11.207561999999999</v>
      </c>
      <c r="T152" s="2">
        <v>64.853800000000007</v>
      </c>
      <c r="U152" s="2">
        <v>1.9331</v>
      </c>
    </row>
    <row r="153" spans="1:21" customFormat="1" x14ac:dyDescent="0.5">
      <c r="A153" s="1" t="s">
        <v>257</v>
      </c>
      <c r="B153" s="2">
        <v>5.6240579999999998</v>
      </c>
      <c r="C153" s="2">
        <v>9.7393999999999998</v>
      </c>
      <c r="D153" s="2">
        <v>2642.4525699999999</v>
      </c>
      <c r="E153" s="5">
        <v>671.47037699999998</v>
      </c>
      <c r="F153" s="2">
        <v>52.989699999999999</v>
      </c>
      <c r="G153" s="2">
        <v>10.7852</v>
      </c>
      <c r="H153" s="2">
        <v>30.942399999999999</v>
      </c>
      <c r="I153" s="2">
        <v>6026.9898999999996</v>
      </c>
      <c r="J153" s="5">
        <v>3.89093</v>
      </c>
      <c r="K153" s="2">
        <v>27.070799999999998</v>
      </c>
      <c r="L153" s="2">
        <v>6.0046660000000003</v>
      </c>
      <c r="M153" s="2">
        <v>5.2496900000000002</v>
      </c>
      <c r="N153" s="2">
        <v>101.23260000000001</v>
      </c>
      <c r="O153" s="2">
        <v>8.4086999999999996</v>
      </c>
      <c r="P153" s="2">
        <v>0.99390000000000001</v>
      </c>
      <c r="Q153" s="2">
        <v>2110.3755000000001</v>
      </c>
      <c r="R153" s="2">
        <v>1.7374000000000001</v>
      </c>
      <c r="S153" s="2">
        <v>11.258556</v>
      </c>
      <c r="T153" s="2">
        <v>66.588200000000001</v>
      </c>
      <c r="U153" s="2">
        <v>1.9536</v>
      </c>
    </row>
    <row r="154" spans="1:21" customFormat="1" x14ac:dyDescent="0.5">
      <c r="A154" s="1" t="s">
        <v>258</v>
      </c>
      <c r="B154" s="2">
        <v>5.8432240000000002</v>
      </c>
      <c r="C154" s="2">
        <v>10.0265</v>
      </c>
      <c r="D154" s="2">
        <v>2613.0935869999998</v>
      </c>
      <c r="E154" s="5">
        <v>680.67042100000003</v>
      </c>
      <c r="F154" s="2">
        <v>54.738100000000003</v>
      </c>
      <c r="G154" s="2">
        <v>11.001200000000001</v>
      </c>
      <c r="H154" s="2">
        <v>32.051099999999998</v>
      </c>
      <c r="I154" s="2">
        <v>5851.2248</v>
      </c>
      <c r="J154" s="5">
        <v>4.06623</v>
      </c>
      <c r="K154" s="2">
        <v>27.442</v>
      </c>
      <c r="L154" s="2">
        <v>6.1945170000000003</v>
      </c>
      <c r="M154" s="2">
        <v>5.4156709999999997</v>
      </c>
      <c r="N154" s="2">
        <v>103.5684</v>
      </c>
      <c r="O154" s="2">
        <v>8.8366000000000007</v>
      </c>
      <c r="P154" s="2">
        <v>1.0254000000000001</v>
      </c>
      <c r="Q154" s="2">
        <v>2177.0998</v>
      </c>
      <c r="R154" s="2">
        <v>1.7963</v>
      </c>
      <c r="S154" s="2">
        <v>11.316875</v>
      </c>
      <c r="T154" s="2">
        <v>70.5107</v>
      </c>
      <c r="U154" s="2">
        <v>1.9781</v>
      </c>
    </row>
    <row r="155" spans="1:21" customFormat="1" x14ac:dyDescent="0.5">
      <c r="A155" s="1" t="s">
        <v>259</v>
      </c>
      <c r="B155" s="2">
        <v>5.8308759999999999</v>
      </c>
      <c r="C155" s="2">
        <v>9.9579000000000004</v>
      </c>
      <c r="D155" s="2">
        <v>2584.0527550000002</v>
      </c>
      <c r="E155" s="5">
        <v>671.12876900000003</v>
      </c>
      <c r="F155" s="2">
        <v>54.468000000000004</v>
      </c>
      <c r="G155" s="2">
        <v>10.991899999999999</v>
      </c>
      <c r="H155" s="2">
        <v>31.974499999999999</v>
      </c>
      <c r="I155" s="2">
        <v>5739.7538000000004</v>
      </c>
      <c r="J155" s="5">
        <v>3.9817469999999999</v>
      </c>
      <c r="K155" s="2">
        <v>27.050899999999999</v>
      </c>
      <c r="L155" s="2">
        <v>6.1545610000000002</v>
      </c>
      <c r="M155" s="2">
        <v>5.3807390000000002</v>
      </c>
      <c r="N155" s="2">
        <v>103.5488</v>
      </c>
      <c r="O155" s="2">
        <v>8.5367999999999995</v>
      </c>
      <c r="P155" s="2">
        <v>1.0187999999999999</v>
      </c>
      <c r="Q155" s="2">
        <v>2163.0569</v>
      </c>
      <c r="R155" s="2">
        <v>1.74</v>
      </c>
      <c r="S155" s="2">
        <v>11.315191</v>
      </c>
      <c r="T155" s="2">
        <v>68.256799999999998</v>
      </c>
      <c r="U155" s="2">
        <v>1.9761</v>
      </c>
    </row>
    <row r="156" spans="1:21" customFormat="1" x14ac:dyDescent="0.5">
      <c r="A156" s="1" t="s">
        <v>260</v>
      </c>
      <c r="B156" s="2">
        <v>5.8649899999999997</v>
      </c>
      <c r="C156" s="2">
        <v>9.9725999999999999</v>
      </c>
      <c r="D156" s="2">
        <v>2565.3779730000001</v>
      </c>
      <c r="E156" s="5">
        <v>675.40631099999996</v>
      </c>
      <c r="F156" s="2">
        <v>54.823999999999998</v>
      </c>
      <c r="G156" s="2">
        <v>11.207800000000001</v>
      </c>
      <c r="H156" s="2">
        <v>32.194099999999999</v>
      </c>
      <c r="I156" s="2">
        <v>5749.3035</v>
      </c>
      <c r="J156" s="5">
        <v>3.9771000000000001</v>
      </c>
      <c r="K156" s="2">
        <v>26.661300000000001</v>
      </c>
      <c r="L156" s="2">
        <v>6.1716199999999999</v>
      </c>
      <c r="M156" s="2">
        <v>5.3956530000000003</v>
      </c>
      <c r="N156" s="2">
        <v>103.51179999999999</v>
      </c>
      <c r="O156" s="2">
        <v>8.5808999999999997</v>
      </c>
      <c r="P156" s="2">
        <v>1.0216000000000001</v>
      </c>
      <c r="Q156" s="2">
        <v>2169.0527000000002</v>
      </c>
      <c r="R156" s="2">
        <v>1.7465999999999999</v>
      </c>
      <c r="S156" s="2">
        <v>11.314613</v>
      </c>
      <c r="T156" s="2">
        <v>68.579499999999996</v>
      </c>
      <c r="U156" s="2">
        <v>1.9738</v>
      </c>
    </row>
    <row r="157" spans="1:21" customFormat="1" x14ac:dyDescent="0.5">
      <c r="A157" s="1" t="s">
        <v>261</v>
      </c>
      <c r="B157" s="2">
        <v>5.8598359999999996</v>
      </c>
      <c r="C157" s="2">
        <v>9.8795999999999999</v>
      </c>
      <c r="D157" s="2">
        <v>2513.6644409999999</v>
      </c>
      <c r="E157" s="5">
        <v>660.35084300000005</v>
      </c>
      <c r="F157" s="2">
        <v>54.369199999999999</v>
      </c>
      <c r="G157" s="2">
        <v>11.066800000000001</v>
      </c>
      <c r="H157" s="2">
        <v>32.046799999999998</v>
      </c>
      <c r="I157" s="2">
        <v>5601.6831000000002</v>
      </c>
      <c r="J157" s="5">
        <v>3.910269</v>
      </c>
      <c r="K157" s="2">
        <v>26.327999999999999</v>
      </c>
      <c r="L157" s="2">
        <v>6.1183800000000002</v>
      </c>
      <c r="M157" s="2">
        <v>5.3491070000000001</v>
      </c>
      <c r="N157" s="2">
        <v>102.8827</v>
      </c>
      <c r="O157" s="2">
        <v>8.4779</v>
      </c>
      <c r="P157" s="2">
        <v>1.0127999999999999</v>
      </c>
      <c r="Q157" s="2">
        <v>2150.3411000000001</v>
      </c>
      <c r="R157" s="2">
        <v>1.728</v>
      </c>
      <c r="S157" s="2">
        <v>11.290039999999999</v>
      </c>
      <c r="T157" s="2">
        <v>67.663700000000006</v>
      </c>
      <c r="U157" s="2">
        <v>1.9681999999999999</v>
      </c>
    </row>
    <row r="158" spans="1:21" customFormat="1" x14ac:dyDescent="0.5">
      <c r="A158" s="1" t="s">
        <v>262</v>
      </c>
      <c r="B158" s="2">
        <v>5.9510009999999998</v>
      </c>
      <c r="C158" s="2">
        <v>9.9254999999999995</v>
      </c>
      <c r="D158" s="2">
        <v>2560.212544</v>
      </c>
      <c r="E158" s="5">
        <v>669.52704500000004</v>
      </c>
      <c r="F158" s="2">
        <v>54.693600000000004</v>
      </c>
      <c r="G158" s="2">
        <v>11.227600000000001</v>
      </c>
      <c r="H158" s="2">
        <v>32.357900000000001</v>
      </c>
      <c r="I158" s="2">
        <v>5591.7732999999998</v>
      </c>
      <c r="J158" s="5">
        <v>3.9291809999999998</v>
      </c>
      <c r="K158" s="2">
        <v>26.913799999999998</v>
      </c>
      <c r="L158" s="2">
        <v>6.1522360000000003</v>
      </c>
      <c r="M158" s="2">
        <v>5.3787070000000003</v>
      </c>
      <c r="N158" s="2">
        <v>103.4058</v>
      </c>
      <c r="O158" s="2">
        <v>8.5963999999999992</v>
      </c>
      <c r="P158" s="2">
        <v>1.0184</v>
      </c>
      <c r="Q158" s="2">
        <v>2162.2399999999998</v>
      </c>
      <c r="R158" s="2">
        <v>1.7387999999999999</v>
      </c>
      <c r="S158" s="2">
        <v>11.312495999999999</v>
      </c>
      <c r="T158" s="2">
        <v>68.565299999999993</v>
      </c>
      <c r="U158" s="2">
        <v>1.9710000000000001</v>
      </c>
    </row>
    <row r="159" spans="1:21" customFormat="1" x14ac:dyDescent="0.5">
      <c r="A159" s="1" t="s">
        <v>263</v>
      </c>
      <c r="B159" s="2">
        <v>5.7611800000000004</v>
      </c>
      <c r="C159" s="2">
        <v>9.5288000000000004</v>
      </c>
      <c r="D159" s="2">
        <v>2532.5357789999998</v>
      </c>
      <c r="E159" s="5">
        <v>666.04112999999995</v>
      </c>
      <c r="F159" s="2">
        <v>52.620199999999997</v>
      </c>
      <c r="G159" s="2">
        <v>10.8124</v>
      </c>
      <c r="H159" s="2">
        <v>31.191700000000001</v>
      </c>
      <c r="I159" s="2">
        <v>5532.0974999999999</v>
      </c>
      <c r="J159" s="5">
        <v>3.778213</v>
      </c>
      <c r="K159" s="2">
        <v>26.9526</v>
      </c>
      <c r="L159" s="2">
        <v>5.9063660000000002</v>
      </c>
      <c r="M159" s="2">
        <v>5.1637500000000003</v>
      </c>
      <c r="N159" s="2">
        <v>100.9842</v>
      </c>
      <c r="O159" s="2">
        <v>8.0353999999999992</v>
      </c>
      <c r="P159" s="2">
        <v>0.97770000000000001</v>
      </c>
      <c r="Q159" s="2">
        <v>2075.8274999999999</v>
      </c>
      <c r="R159" s="2">
        <v>1.657</v>
      </c>
      <c r="S159" s="2">
        <v>11.251054</v>
      </c>
      <c r="T159" s="2">
        <v>65.260000000000005</v>
      </c>
      <c r="U159" s="2">
        <v>1.9498</v>
      </c>
    </row>
    <row r="160" spans="1:21" customFormat="1" x14ac:dyDescent="0.5">
      <c r="A160" s="1" t="s">
        <v>264</v>
      </c>
      <c r="B160" s="2">
        <v>5.7602500000000001</v>
      </c>
      <c r="C160" s="2">
        <v>9.4847999999999999</v>
      </c>
      <c r="D160" s="2">
        <v>2617.1715810000001</v>
      </c>
      <c r="E160" s="5">
        <v>701.40790200000004</v>
      </c>
      <c r="F160" s="2">
        <v>52.590800000000002</v>
      </c>
      <c r="G160" s="2">
        <v>10.751200000000001</v>
      </c>
      <c r="H160" s="2">
        <v>31.174199999999999</v>
      </c>
      <c r="I160" s="2">
        <v>5723.2231000000002</v>
      </c>
      <c r="J160" s="5">
        <v>3.7442959999999998</v>
      </c>
      <c r="K160" s="2">
        <v>27.3169</v>
      </c>
      <c r="L160" s="2">
        <v>5.8790579999999997</v>
      </c>
      <c r="M160" s="2">
        <v>5.139875</v>
      </c>
      <c r="N160" s="2">
        <v>100.8994</v>
      </c>
      <c r="O160" s="2">
        <v>8.3385999999999996</v>
      </c>
      <c r="P160" s="2">
        <v>0.97309999999999997</v>
      </c>
      <c r="Q160" s="2">
        <v>2066.2298000000001</v>
      </c>
      <c r="R160" s="2">
        <v>1.7199</v>
      </c>
      <c r="S160" s="2">
        <v>11.2174</v>
      </c>
      <c r="T160" s="2">
        <v>69.192899999999995</v>
      </c>
      <c r="U160" s="2">
        <v>1.9516</v>
      </c>
    </row>
    <row r="161" spans="1:21" customFormat="1" x14ac:dyDescent="0.5">
      <c r="A161" s="1" t="s">
        <v>265</v>
      </c>
      <c r="B161" s="2">
        <v>5.7491130000000004</v>
      </c>
      <c r="C161" s="2">
        <v>9.3673999999999999</v>
      </c>
      <c r="D161" s="2">
        <v>2597.8934530000001</v>
      </c>
      <c r="E161" s="5">
        <v>689.227397</v>
      </c>
      <c r="F161" s="2">
        <v>52.209299999999999</v>
      </c>
      <c r="G161" s="2">
        <v>10.593</v>
      </c>
      <c r="H161" s="2">
        <v>30.957799999999999</v>
      </c>
      <c r="I161" s="2">
        <v>5864.0348000000004</v>
      </c>
      <c r="J161" s="5">
        <v>3.6668240000000001</v>
      </c>
      <c r="K161" s="2">
        <v>26.976700000000001</v>
      </c>
      <c r="L161" s="2">
        <v>5.8144580000000001</v>
      </c>
      <c r="M161" s="2">
        <v>5.0833979999999999</v>
      </c>
      <c r="N161" s="2">
        <v>101.4509</v>
      </c>
      <c r="O161" s="2">
        <v>8.0126000000000008</v>
      </c>
      <c r="P161" s="2">
        <v>0.96250000000000002</v>
      </c>
      <c r="Q161" s="2">
        <v>2043.5259000000001</v>
      </c>
      <c r="R161" s="2">
        <v>1.6553</v>
      </c>
      <c r="S161" s="2">
        <v>11.215059999999999</v>
      </c>
      <c r="T161" s="2">
        <v>66.955799999999996</v>
      </c>
      <c r="U161" s="2">
        <v>1.9645999999999999</v>
      </c>
    </row>
    <row r="162" spans="1:21" customFormat="1" x14ac:dyDescent="0.5">
      <c r="A162" s="1" t="s">
        <v>266</v>
      </c>
      <c r="B162" s="2">
        <v>5.6259969999999999</v>
      </c>
      <c r="C162" s="2">
        <v>9.1067</v>
      </c>
      <c r="D162" s="2">
        <v>2549.5972019999999</v>
      </c>
      <c r="E162" s="5">
        <v>681.58080600000005</v>
      </c>
      <c r="F162" s="2">
        <v>50.907299999999999</v>
      </c>
      <c r="G162" s="2">
        <v>10.2782</v>
      </c>
      <c r="H162" s="2">
        <v>30.220300000000002</v>
      </c>
      <c r="I162" s="2">
        <v>5851.3741</v>
      </c>
      <c r="J162" s="5">
        <v>3.5534669999999999</v>
      </c>
      <c r="K162" s="2">
        <v>26.3186</v>
      </c>
      <c r="L162" s="2">
        <v>5.6528890000000001</v>
      </c>
      <c r="M162" s="2">
        <v>4.9421429999999997</v>
      </c>
      <c r="N162" s="2">
        <v>98.631900000000002</v>
      </c>
      <c r="O162" s="2">
        <v>7.7683999999999997</v>
      </c>
      <c r="P162" s="2">
        <v>0.93569999999999998</v>
      </c>
      <c r="Q162" s="2">
        <v>1986.7414000000001</v>
      </c>
      <c r="R162" s="2">
        <v>1.6172</v>
      </c>
      <c r="S162" s="2">
        <v>11.151583</v>
      </c>
      <c r="T162" s="2">
        <v>70.530500000000004</v>
      </c>
      <c r="U162" s="2">
        <v>1.9524999999999999</v>
      </c>
    </row>
    <row r="163" spans="1:21" customFormat="1" x14ac:dyDescent="0.5">
      <c r="A163" s="1" t="s">
        <v>267</v>
      </c>
      <c r="B163" s="2">
        <v>5.5505659999999999</v>
      </c>
      <c r="C163" s="2">
        <v>8.9172999999999991</v>
      </c>
      <c r="D163" s="2">
        <v>2387.0694079999998</v>
      </c>
      <c r="E163" s="5">
        <v>646.97243400000002</v>
      </c>
      <c r="F163" s="2">
        <v>50.260300000000001</v>
      </c>
      <c r="G163" s="2">
        <v>10.0753</v>
      </c>
      <c r="H163" s="2">
        <v>29.714400000000001</v>
      </c>
      <c r="I163" s="2">
        <v>5953.6611999999996</v>
      </c>
      <c r="J163" s="5">
        <v>3.4748929999999998</v>
      </c>
      <c r="K163" s="2">
        <v>25.3264</v>
      </c>
      <c r="L163" s="2">
        <v>5.5352829999999997</v>
      </c>
      <c r="M163" s="2">
        <v>4.8393240000000004</v>
      </c>
      <c r="N163" s="2">
        <v>98.377499999999998</v>
      </c>
      <c r="O163" s="2">
        <v>7.9353999999999996</v>
      </c>
      <c r="P163" s="2">
        <v>0.91620000000000001</v>
      </c>
      <c r="Q163" s="2">
        <v>1945.4082000000001</v>
      </c>
      <c r="R163" s="2">
        <v>1.6577</v>
      </c>
      <c r="S163" s="2">
        <v>11.09986</v>
      </c>
      <c r="T163" s="2">
        <v>75.445800000000006</v>
      </c>
      <c r="U163" s="2">
        <v>1.9525999999999999</v>
      </c>
    </row>
    <row r="164" spans="1:21" customFormat="1" x14ac:dyDescent="0.5">
      <c r="A164" s="1" t="s">
        <v>268</v>
      </c>
      <c r="B164" s="2">
        <v>5.7458689999999999</v>
      </c>
      <c r="C164" s="2">
        <v>9.1378000000000004</v>
      </c>
      <c r="D164" s="2">
        <v>2355.9317270000001</v>
      </c>
      <c r="E164" s="5">
        <v>636.72696199999996</v>
      </c>
      <c r="F164" s="2">
        <v>51.604999999999997</v>
      </c>
      <c r="G164" s="2">
        <v>10.2919</v>
      </c>
      <c r="H164" s="2">
        <v>30.5715</v>
      </c>
      <c r="I164" s="2">
        <v>5876.1446999999998</v>
      </c>
      <c r="J164" s="5">
        <v>3.5487169999999999</v>
      </c>
      <c r="K164" s="2">
        <v>25.7029</v>
      </c>
      <c r="L164" s="2">
        <v>5.6722109999999999</v>
      </c>
      <c r="M164" s="2">
        <v>4.9590360000000002</v>
      </c>
      <c r="N164" s="2">
        <v>98.905100000000004</v>
      </c>
      <c r="O164" s="2">
        <v>8.0961999999999996</v>
      </c>
      <c r="P164" s="2">
        <v>0.93889999999999996</v>
      </c>
      <c r="Q164" s="2">
        <v>1993.5324000000001</v>
      </c>
      <c r="R164" s="2">
        <v>1.6768000000000001</v>
      </c>
      <c r="S164" s="2">
        <v>11.142754999999999</v>
      </c>
      <c r="T164" s="2">
        <v>77.471999999999994</v>
      </c>
      <c r="U164" s="2">
        <v>1.9863</v>
      </c>
    </row>
    <row r="165" spans="1:21" customFormat="1" x14ac:dyDescent="0.5">
      <c r="A165" s="1" t="s">
        <v>269</v>
      </c>
      <c r="B165" s="2">
        <v>5.7247940000000002</v>
      </c>
      <c r="C165" s="2">
        <v>9.1219000000000001</v>
      </c>
      <c r="D165" s="2">
        <v>2331.7485769999998</v>
      </c>
      <c r="E165" s="5">
        <v>640.77053999999998</v>
      </c>
      <c r="F165" s="2">
        <v>51.574399999999997</v>
      </c>
      <c r="G165" s="2">
        <v>10.1959</v>
      </c>
      <c r="H165" s="2">
        <v>30.6403</v>
      </c>
      <c r="I165" s="2">
        <v>5668.1027000000004</v>
      </c>
      <c r="J165" s="5">
        <v>3.5259870000000002</v>
      </c>
      <c r="K165" s="2">
        <v>25.7788</v>
      </c>
      <c r="L165" s="2">
        <v>5.6623049999999999</v>
      </c>
      <c r="M165" s="2">
        <v>4.9503750000000002</v>
      </c>
      <c r="N165" s="2">
        <v>98.240899999999996</v>
      </c>
      <c r="O165" s="2">
        <v>8.0434000000000001</v>
      </c>
      <c r="P165" s="2">
        <v>0.93730000000000002</v>
      </c>
      <c r="Q165" s="2">
        <v>1990.0508</v>
      </c>
      <c r="R165" s="2">
        <v>1.6752</v>
      </c>
      <c r="S165" s="2">
        <v>11.145076</v>
      </c>
      <c r="T165" s="2">
        <v>79.882199999999997</v>
      </c>
      <c r="U165" s="2">
        <v>1.9932000000000001</v>
      </c>
    </row>
    <row r="166" spans="1:21" customFormat="1" x14ac:dyDescent="0.5">
      <c r="A166" s="1" t="s">
        <v>270</v>
      </c>
      <c r="B166" s="2">
        <v>5.7639120000000004</v>
      </c>
      <c r="C166" s="2">
        <v>9.0947999999999993</v>
      </c>
      <c r="D166" s="2">
        <v>2335.9738849999999</v>
      </c>
      <c r="E166" s="5">
        <v>639.72753499999999</v>
      </c>
      <c r="F166" s="2">
        <v>51.441800000000001</v>
      </c>
      <c r="G166" s="2">
        <v>10.198499999999999</v>
      </c>
      <c r="H166" s="2">
        <v>30.6737</v>
      </c>
      <c r="I166" s="2">
        <v>5670.7678999999998</v>
      </c>
      <c r="J166" s="5">
        <v>3.4971100000000002</v>
      </c>
      <c r="K166" s="2">
        <v>25.903400000000001</v>
      </c>
      <c r="L166" s="2">
        <v>5.6454639999999996</v>
      </c>
      <c r="M166" s="2">
        <v>4.935651</v>
      </c>
      <c r="N166" s="2">
        <v>97.591899999999995</v>
      </c>
      <c r="O166" s="2">
        <v>7.9667000000000003</v>
      </c>
      <c r="P166" s="2">
        <v>0.9345</v>
      </c>
      <c r="Q166" s="2">
        <v>1984.1318000000001</v>
      </c>
      <c r="R166" s="2">
        <v>1.6549</v>
      </c>
      <c r="S166" s="2">
        <v>11.143910999999999</v>
      </c>
      <c r="T166" s="2">
        <v>80.816800000000001</v>
      </c>
      <c r="U166" s="2">
        <v>2.0081000000000002</v>
      </c>
    </row>
    <row r="167" spans="1:21" customFormat="1" x14ac:dyDescent="0.5">
      <c r="A167" s="1" t="s">
        <v>271</v>
      </c>
      <c r="B167" s="2">
        <v>5.6673439999999999</v>
      </c>
      <c r="C167" s="2">
        <v>8.8370999999999995</v>
      </c>
      <c r="D167" s="2">
        <v>2290.1523870000001</v>
      </c>
      <c r="E167" s="5">
        <v>635.723882</v>
      </c>
      <c r="F167" s="2">
        <v>49.997300000000003</v>
      </c>
      <c r="G167" s="2">
        <v>9.9537999999999993</v>
      </c>
      <c r="H167" s="2">
        <v>29.926200000000001</v>
      </c>
      <c r="I167" s="2">
        <v>5610.3441000000003</v>
      </c>
      <c r="J167" s="5">
        <v>3.4137089999999999</v>
      </c>
      <c r="K167" s="2">
        <v>25.869499999999999</v>
      </c>
      <c r="L167" s="2">
        <v>5.4855470000000004</v>
      </c>
      <c r="M167" s="2">
        <v>4.7958410000000002</v>
      </c>
      <c r="N167" s="2">
        <v>95.921400000000006</v>
      </c>
      <c r="O167" s="2">
        <v>7.4764999999999997</v>
      </c>
      <c r="P167" s="2">
        <v>0.90800000000000003</v>
      </c>
      <c r="Q167" s="2">
        <v>1927.9280000000001</v>
      </c>
      <c r="R167" s="2">
        <v>1.5654999999999999</v>
      </c>
      <c r="S167" s="2">
        <v>11.083124</v>
      </c>
      <c r="T167" s="2">
        <v>78.461399999999998</v>
      </c>
      <c r="U167" s="2">
        <v>2.0164</v>
      </c>
    </row>
    <row r="168" spans="1:21" customFormat="1" x14ac:dyDescent="0.5">
      <c r="A168" s="1" t="s">
        <v>272</v>
      </c>
      <c r="B168" s="2">
        <v>5.6324439999999996</v>
      </c>
      <c r="C168" s="2">
        <v>8.6556999999999995</v>
      </c>
      <c r="D168" s="2">
        <v>2239.7346809999999</v>
      </c>
      <c r="E168" s="5">
        <v>633.36419899999999</v>
      </c>
      <c r="F168" s="2">
        <v>49.023600000000002</v>
      </c>
      <c r="G168" s="2">
        <v>9.8303999999999991</v>
      </c>
      <c r="H168" s="2">
        <v>29.431100000000001</v>
      </c>
      <c r="I168" s="2">
        <v>5684.3639000000003</v>
      </c>
      <c r="J168" s="5">
        <v>3.3452389999999999</v>
      </c>
      <c r="K168" s="2">
        <v>27.166799999999999</v>
      </c>
      <c r="L168" s="2">
        <v>5.3728999999999996</v>
      </c>
      <c r="M168" s="2">
        <v>4.6973570000000002</v>
      </c>
      <c r="N168" s="2">
        <v>97.353899999999996</v>
      </c>
      <c r="O168" s="2">
        <v>7.5959000000000003</v>
      </c>
      <c r="P168" s="2">
        <v>0.88939999999999997</v>
      </c>
      <c r="Q168" s="2">
        <v>1888.3376000000001</v>
      </c>
      <c r="R168" s="2">
        <v>1.6053999999999999</v>
      </c>
      <c r="S168" s="2">
        <v>11.0319</v>
      </c>
      <c r="T168" s="2">
        <v>80.475300000000004</v>
      </c>
      <c r="U168" s="2">
        <v>2.0028000000000001</v>
      </c>
    </row>
    <row r="169" spans="1:21" customFormat="1" x14ac:dyDescent="0.5">
      <c r="A169" s="1" t="s">
        <v>273</v>
      </c>
      <c r="B169" s="2">
        <v>5.590954</v>
      </c>
      <c r="C169" s="2">
        <v>8.4913000000000007</v>
      </c>
      <c r="D169" s="2">
        <v>2193.0467520000002</v>
      </c>
      <c r="E169" s="5">
        <v>604.145893</v>
      </c>
      <c r="F169" s="2">
        <v>48.110100000000003</v>
      </c>
      <c r="G169" s="2">
        <v>9.6129999999999995</v>
      </c>
      <c r="H169" s="2">
        <v>28.99</v>
      </c>
      <c r="I169" s="2">
        <v>5451.7834999999995</v>
      </c>
      <c r="J169" s="5">
        <v>3.2380659999999999</v>
      </c>
      <c r="K169" s="2">
        <v>26.784400000000002</v>
      </c>
      <c r="L169" s="2">
        <v>5.2708870000000001</v>
      </c>
      <c r="M169" s="2">
        <v>4.6081700000000003</v>
      </c>
      <c r="N169" s="2">
        <v>99.156300000000002</v>
      </c>
      <c r="O169" s="2">
        <v>7.4275000000000002</v>
      </c>
      <c r="P169" s="2">
        <v>0.87250000000000005</v>
      </c>
      <c r="Q169" s="2">
        <v>1852.4845</v>
      </c>
      <c r="R169" s="2">
        <v>1.5760000000000001</v>
      </c>
      <c r="S169" s="2">
        <v>10.996283</v>
      </c>
      <c r="T169" s="2">
        <v>79.354600000000005</v>
      </c>
      <c r="U169" s="2">
        <v>1.9895</v>
      </c>
    </row>
    <row r="170" spans="1:21" customFormat="1" x14ac:dyDescent="0.5">
      <c r="A170" s="1" t="s">
        <v>274</v>
      </c>
      <c r="B170" s="2">
        <v>5.6921999999999997</v>
      </c>
      <c r="C170" s="2">
        <v>8.5684000000000005</v>
      </c>
      <c r="D170" s="2">
        <v>2239.596043</v>
      </c>
      <c r="E170" s="5">
        <v>596.43058099999996</v>
      </c>
      <c r="F170" s="2">
        <v>48.581200000000003</v>
      </c>
      <c r="G170" s="2">
        <v>9.7754999999999992</v>
      </c>
      <c r="H170" s="2">
        <v>29.374099999999999</v>
      </c>
      <c r="I170" s="2">
        <v>5469.3940000000002</v>
      </c>
      <c r="J170" s="5">
        <v>3.2437990000000001</v>
      </c>
      <c r="K170" s="2">
        <v>26.4237</v>
      </c>
      <c r="L170" s="2">
        <v>5.3187129999999998</v>
      </c>
      <c r="M170" s="2">
        <v>4.6499839999999999</v>
      </c>
      <c r="N170" s="2">
        <v>100.6208</v>
      </c>
      <c r="O170" s="2">
        <v>7.6502999999999997</v>
      </c>
      <c r="P170" s="2">
        <v>0.88039999999999996</v>
      </c>
      <c r="Q170" s="2">
        <v>1869.2934</v>
      </c>
      <c r="R170" s="2">
        <v>1.6109</v>
      </c>
      <c r="S170" s="2">
        <v>11.012364</v>
      </c>
      <c r="T170" s="2">
        <v>83.472200000000001</v>
      </c>
      <c r="U170" s="2">
        <v>1.9970000000000001</v>
      </c>
    </row>
    <row r="171" spans="1:21" customFormat="1" x14ac:dyDescent="0.5">
      <c r="A171" s="1" t="s">
        <v>275</v>
      </c>
      <c r="B171" s="2">
        <v>5.9788819999999996</v>
      </c>
      <c r="C171" s="2">
        <v>8.8833000000000002</v>
      </c>
      <c r="D171" s="2">
        <v>2316.6028540000002</v>
      </c>
      <c r="E171" s="5">
        <v>610.60718299999996</v>
      </c>
      <c r="F171" s="2">
        <v>50.511699999999998</v>
      </c>
      <c r="G171" s="2">
        <v>10.247400000000001</v>
      </c>
      <c r="H171" s="2">
        <v>30.5778</v>
      </c>
      <c r="I171" s="2">
        <v>5688.1149999999998</v>
      </c>
      <c r="J171" s="5">
        <v>3.346082</v>
      </c>
      <c r="K171" s="2">
        <v>27.2776</v>
      </c>
      <c r="L171" s="2">
        <v>5.514195</v>
      </c>
      <c r="M171" s="2">
        <v>4.8208880000000001</v>
      </c>
      <c r="N171" s="2">
        <v>102.16370000000001</v>
      </c>
      <c r="O171" s="2">
        <v>7.8606999999999996</v>
      </c>
      <c r="P171" s="2">
        <v>0.91279999999999994</v>
      </c>
      <c r="Q171" s="2">
        <v>1937.9967999999999</v>
      </c>
      <c r="R171" s="2">
        <v>1.6245000000000001</v>
      </c>
      <c r="S171" s="2">
        <v>11.085039</v>
      </c>
      <c r="T171" s="2">
        <v>86.954300000000003</v>
      </c>
      <c r="U171" s="2">
        <v>2.0272000000000001</v>
      </c>
    </row>
    <row r="172" spans="1:21" customFormat="1" x14ac:dyDescent="0.5">
      <c r="A172" s="1" t="s">
        <v>276</v>
      </c>
      <c r="B172" s="2">
        <v>6.1118969999999999</v>
      </c>
      <c r="C172" s="2">
        <v>8.9651999999999994</v>
      </c>
      <c r="D172" s="2">
        <v>2337.6590860000001</v>
      </c>
      <c r="E172" s="5">
        <v>616.74033099999997</v>
      </c>
      <c r="F172" s="2">
        <v>51.282899999999998</v>
      </c>
      <c r="G172" s="2">
        <v>10.2127</v>
      </c>
      <c r="H172" s="2">
        <v>30.985299999999999</v>
      </c>
      <c r="I172" s="2">
        <v>5780.0138999999999</v>
      </c>
      <c r="J172" s="5">
        <v>3.3571970000000002</v>
      </c>
      <c r="K172" s="2">
        <v>26.122199999999999</v>
      </c>
      <c r="L172" s="2">
        <v>5.5650120000000003</v>
      </c>
      <c r="M172" s="2">
        <v>4.8653149999999998</v>
      </c>
      <c r="N172" s="2">
        <v>102.76519999999999</v>
      </c>
      <c r="O172" s="2">
        <v>7.9067999999999996</v>
      </c>
      <c r="P172" s="2">
        <v>0.92120000000000002</v>
      </c>
      <c r="Q172" s="2">
        <v>1955.8567</v>
      </c>
      <c r="R172" s="2">
        <v>1.63</v>
      </c>
      <c r="S172" s="2">
        <v>11.106152</v>
      </c>
      <c r="T172" s="2">
        <v>89.300899999999999</v>
      </c>
      <c r="U172" s="2">
        <v>2.0327999999999999</v>
      </c>
    </row>
    <row r="173" spans="1:21" customFormat="1" x14ac:dyDescent="0.5">
      <c r="A173" s="1" t="s">
        <v>277</v>
      </c>
      <c r="B173" s="2">
        <v>6.144787</v>
      </c>
      <c r="C173" s="2">
        <v>8.8640000000000008</v>
      </c>
      <c r="D173" s="2">
        <v>2334.6684559999999</v>
      </c>
      <c r="E173" s="5">
        <v>616.46208999999999</v>
      </c>
      <c r="F173" s="2">
        <v>51.372100000000003</v>
      </c>
      <c r="G173" s="2">
        <v>10.095800000000001</v>
      </c>
      <c r="H173" s="2">
        <v>30.760400000000001</v>
      </c>
      <c r="I173" s="2">
        <v>5721.3613999999998</v>
      </c>
      <c r="J173" s="5">
        <v>3.3334450000000002</v>
      </c>
      <c r="K173" s="2">
        <v>25.364100000000001</v>
      </c>
      <c r="L173" s="2">
        <v>5.5021969999999998</v>
      </c>
      <c r="M173" s="2">
        <v>4.8103980000000002</v>
      </c>
      <c r="N173" s="2">
        <v>101.8723</v>
      </c>
      <c r="O173" s="2">
        <v>7.9081999999999999</v>
      </c>
      <c r="P173" s="2">
        <v>0.91080000000000005</v>
      </c>
      <c r="Q173" s="2">
        <v>1933.7799</v>
      </c>
      <c r="R173" s="2">
        <v>1.6406000000000001</v>
      </c>
      <c r="S173" s="2">
        <v>11.081104</v>
      </c>
      <c r="T173" s="2">
        <v>91.460400000000007</v>
      </c>
      <c r="U173" s="2">
        <v>2.0308999999999999</v>
      </c>
    </row>
    <row r="174" spans="1:21" customFormat="1" x14ac:dyDescent="0.5">
      <c r="A174" s="1" t="s">
        <v>278</v>
      </c>
      <c r="B174" s="2">
        <v>6.3774629999999997</v>
      </c>
      <c r="C174" s="2">
        <v>9.0655000000000001</v>
      </c>
      <c r="D174" s="2">
        <v>2357.503768</v>
      </c>
      <c r="E174" s="5">
        <v>625.96442500000001</v>
      </c>
      <c r="F174" s="2">
        <v>52.863900000000001</v>
      </c>
      <c r="G174" s="2">
        <v>10.3522</v>
      </c>
      <c r="H174" s="2">
        <v>31.587900000000001</v>
      </c>
      <c r="I174" s="2">
        <v>5626.5938999999998</v>
      </c>
      <c r="J174" s="5">
        <v>3.3675959999999998</v>
      </c>
      <c r="K174" s="2">
        <v>25.332599999999999</v>
      </c>
      <c r="L174" s="2">
        <v>5.6272909999999996</v>
      </c>
      <c r="M174" s="2">
        <v>4.9197629999999997</v>
      </c>
      <c r="N174" s="2">
        <v>102.5761</v>
      </c>
      <c r="O174" s="2">
        <v>8.1109000000000009</v>
      </c>
      <c r="P174" s="2">
        <v>0.93149999999999999</v>
      </c>
      <c r="Q174" s="2">
        <v>1977.7447999999999</v>
      </c>
      <c r="R174" s="2">
        <v>1.657</v>
      </c>
      <c r="S174" s="2">
        <v>11.125923999999999</v>
      </c>
      <c r="T174" s="2">
        <v>98.598799999999997</v>
      </c>
      <c r="U174" s="2">
        <v>2.0466000000000002</v>
      </c>
    </row>
    <row r="175" spans="1:21" customFormat="1" x14ac:dyDescent="0.5">
      <c r="A175" s="1" t="s">
        <v>279</v>
      </c>
      <c r="B175" s="2">
        <v>6.5646110000000002</v>
      </c>
      <c r="C175" s="2">
        <v>9.1820000000000004</v>
      </c>
      <c r="D175" s="2">
        <v>2352.2840759999999</v>
      </c>
      <c r="E175" s="5">
        <v>628.08604500000001</v>
      </c>
      <c r="F175" s="2">
        <v>54.1</v>
      </c>
      <c r="G175" s="2">
        <v>10.468500000000001</v>
      </c>
      <c r="H175" s="2">
        <v>32.126800000000003</v>
      </c>
      <c r="I175" s="2">
        <v>5564.4233999999997</v>
      </c>
      <c r="J175" s="5">
        <v>3.3909880000000001</v>
      </c>
      <c r="K175" s="2">
        <v>25.682700000000001</v>
      </c>
      <c r="L175" s="2">
        <v>5.6996409999999997</v>
      </c>
      <c r="M175" s="2">
        <v>4.9830170000000003</v>
      </c>
      <c r="N175" s="2">
        <v>103.5565</v>
      </c>
      <c r="O175" s="2">
        <v>8.8693000000000008</v>
      </c>
      <c r="P175" s="2">
        <v>0.94350000000000001</v>
      </c>
      <c r="Q175" s="2">
        <v>2003.1729</v>
      </c>
      <c r="R175" s="2">
        <v>1.7054</v>
      </c>
      <c r="S175" s="2">
        <v>11.163895</v>
      </c>
      <c r="T175" s="2">
        <v>107.0586</v>
      </c>
      <c r="U175" s="2">
        <v>2.0687000000000002</v>
      </c>
    </row>
    <row r="176" spans="1:21" customFormat="1" x14ac:dyDescent="0.5">
      <c r="A176" s="1" t="s">
        <v>280</v>
      </c>
      <c r="B176" s="2">
        <v>6.6693090000000002</v>
      </c>
      <c r="C176" s="2">
        <v>9.2310999999999996</v>
      </c>
      <c r="D176" s="2">
        <v>2394.1406609999999</v>
      </c>
      <c r="E176" s="5">
        <v>631.00136799999996</v>
      </c>
      <c r="F176" s="2">
        <v>54.569699999999997</v>
      </c>
      <c r="G176" s="2">
        <v>10.4558</v>
      </c>
      <c r="H176" s="2">
        <v>32.426000000000002</v>
      </c>
      <c r="I176" s="2">
        <v>5376.4241000000002</v>
      </c>
      <c r="J176" s="5">
        <v>3.4440330000000001</v>
      </c>
      <c r="K176" s="2">
        <v>25.532900000000001</v>
      </c>
      <c r="L176" s="2">
        <v>7.2729900000000001</v>
      </c>
      <c r="M176" s="2">
        <v>5.0096439999999998</v>
      </c>
      <c r="N176" s="2">
        <v>104.015</v>
      </c>
      <c r="O176" s="2">
        <v>8.8145000000000007</v>
      </c>
      <c r="P176" s="2">
        <v>0.94850000000000001</v>
      </c>
      <c r="Q176" s="2">
        <v>2013.8768</v>
      </c>
      <c r="R176" s="2">
        <v>1.6614</v>
      </c>
      <c r="S176" s="2">
        <v>11.173121999999999</v>
      </c>
      <c r="T176" s="2">
        <v>105.91160000000001</v>
      </c>
      <c r="U176" s="2">
        <v>2.0798999999999999</v>
      </c>
    </row>
    <row r="177" spans="1:21" customFormat="1" x14ac:dyDescent="0.5">
      <c r="A177" s="1" t="s">
        <v>281</v>
      </c>
      <c r="B177" s="2">
        <v>6.5654149999999998</v>
      </c>
      <c r="C177" s="2">
        <v>8.9578000000000007</v>
      </c>
      <c r="D177" s="2">
        <v>2349.4609270000001</v>
      </c>
      <c r="E177" s="5">
        <v>612.51713600000005</v>
      </c>
      <c r="F177" s="2">
        <v>53.2744</v>
      </c>
      <c r="G177" s="2">
        <v>10.121700000000001</v>
      </c>
      <c r="H177" s="2">
        <v>31.590499999999999</v>
      </c>
      <c r="I177" s="2">
        <v>5187.5084999999999</v>
      </c>
      <c r="J177" s="5">
        <v>3.3626900000000002</v>
      </c>
      <c r="K177" s="2">
        <v>24.630500000000001</v>
      </c>
      <c r="L177" s="2">
        <v>8.1465859999999992</v>
      </c>
      <c r="M177" s="2">
        <v>4.8613499999999998</v>
      </c>
      <c r="N177" s="2">
        <v>102.0732</v>
      </c>
      <c r="O177" s="2">
        <v>8.6705000000000005</v>
      </c>
      <c r="P177" s="2">
        <v>0.9204</v>
      </c>
      <c r="Q177" s="2">
        <v>1954.2627</v>
      </c>
      <c r="R177" s="2">
        <v>1.6462000000000001</v>
      </c>
      <c r="S177" s="2">
        <v>11.114972</v>
      </c>
      <c r="T177" s="2">
        <v>107.9718</v>
      </c>
      <c r="U177" s="2">
        <v>2.0516999999999999</v>
      </c>
    </row>
    <row r="178" spans="1:21" customFormat="1" x14ac:dyDescent="0.5">
      <c r="A178" s="1" t="s">
        <v>282</v>
      </c>
      <c r="B178" s="2">
        <v>6.7002490000000003</v>
      </c>
      <c r="C178" s="2">
        <v>9.0009999999999994</v>
      </c>
      <c r="D178" s="2">
        <v>2384.6131569999998</v>
      </c>
      <c r="E178" s="5">
        <v>615.00956399999995</v>
      </c>
      <c r="F178" s="2">
        <v>53.596400000000003</v>
      </c>
      <c r="G178" s="2">
        <v>10.1538</v>
      </c>
      <c r="H178" s="2">
        <v>31.8721</v>
      </c>
      <c r="I178" s="2">
        <v>5335.7381999999998</v>
      </c>
      <c r="J178" s="5">
        <v>3.3835039999999998</v>
      </c>
      <c r="K178" s="2">
        <v>24.7331</v>
      </c>
      <c r="L178" s="2">
        <v>8.1857989999999994</v>
      </c>
      <c r="M178" s="2">
        <v>4.8847500000000004</v>
      </c>
      <c r="N178" s="2">
        <v>102.4709</v>
      </c>
      <c r="O178" s="2">
        <v>8.9673999999999996</v>
      </c>
      <c r="P178" s="2">
        <v>0.92479999999999996</v>
      </c>
      <c r="Q178" s="2">
        <v>1963.6695</v>
      </c>
      <c r="R178" s="2">
        <v>1.6795</v>
      </c>
      <c r="S178" s="2">
        <v>11.125323</v>
      </c>
      <c r="T178" s="2">
        <v>121.34739999999999</v>
      </c>
      <c r="U178" s="2">
        <v>2.0859999999999999</v>
      </c>
    </row>
    <row r="179" spans="1:21" customFormat="1" x14ac:dyDescent="0.5">
      <c r="A179" s="1" t="s">
        <v>283</v>
      </c>
      <c r="B179" s="2">
        <v>6.7778669999999996</v>
      </c>
      <c r="C179" s="2">
        <v>8.9705999999999992</v>
      </c>
      <c r="D179" s="2">
        <v>2398.0876929999999</v>
      </c>
      <c r="E179" s="5">
        <v>622.59293600000001</v>
      </c>
      <c r="F179" s="2">
        <v>53.464500000000001</v>
      </c>
      <c r="G179" s="2">
        <v>10.1081</v>
      </c>
      <c r="H179" s="2">
        <v>31.894400000000001</v>
      </c>
      <c r="I179" s="2">
        <v>5449.1597000000002</v>
      </c>
      <c r="J179" s="5">
        <v>3.4329540000000001</v>
      </c>
      <c r="K179" s="2">
        <v>25.0002</v>
      </c>
      <c r="L179" s="2">
        <v>8.1581770000000002</v>
      </c>
      <c r="M179" s="2">
        <v>4.8682670000000003</v>
      </c>
      <c r="N179" s="2">
        <v>102.4148</v>
      </c>
      <c r="O179" s="2">
        <v>9.0569000000000006</v>
      </c>
      <c r="P179" s="2">
        <v>0.92169999999999996</v>
      </c>
      <c r="Q179" s="2">
        <v>1957.0434</v>
      </c>
      <c r="R179" s="2">
        <v>1.6760999999999999</v>
      </c>
      <c r="S179" s="2">
        <v>11.112436000000001</v>
      </c>
      <c r="T179" s="2">
        <v>127.69289999999999</v>
      </c>
      <c r="U179" s="2">
        <v>2.1297000000000001</v>
      </c>
    </row>
    <row r="180" spans="1:21" customFormat="1" x14ac:dyDescent="0.5">
      <c r="A180" s="1" t="s">
        <v>284</v>
      </c>
      <c r="B180" s="2">
        <v>7.0094539999999999</v>
      </c>
      <c r="C180" s="2">
        <v>9.1134000000000004</v>
      </c>
      <c r="D180" s="2">
        <v>2513.2893180000001</v>
      </c>
      <c r="E180" s="5">
        <v>663.24904900000001</v>
      </c>
      <c r="F180" s="2">
        <v>54.8598</v>
      </c>
      <c r="G180" s="2">
        <v>10.309200000000001</v>
      </c>
      <c r="H180" s="2">
        <v>32.534599999999998</v>
      </c>
      <c r="I180" s="2">
        <v>5808.7381999999998</v>
      </c>
      <c r="J180" s="5">
        <v>3.6236090000000001</v>
      </c>
      <c r="K180" s="2">
        <v>27.2684</v>
      </c>
      <c r="L180" s="2">
        <v>8.2880739999999999</v>
      </c>
      <c r="M180" s="2">
        <v>4.9457810000000002</v>
      </c>
      <c r="N180" s="2">
        <v>103.85129999999999</v>
      </c>
      <c r="O180" s="2">
        <v>9.1437000000000008</v>
      </c>
      <c r="P180" s="2">
        <v>0.93640000000000001</v>
      </c>
      <c r="Q180" s="2">
        <v>1988.2040999999999</v>
      </c>
      <c r="R180" s="2">
        <v>1.6694</v>
      </c>
      <c r="S180" s="2">
        <v>11.148398</v>
      </c>
      <c r="T180" s="2">
        <v>131.27090000000001</v>
      </c>
      <c r="U180" s="2">
        <v>2.1516999999999999</v>
      </c>
    </row>
    <row r="181" spans="1:21" customFormat="1" x14ac:dyDescent="0.5">
      <c r="A181" s="1" t="s">
        <v>285</v>
      </c>
      <c r="B181" s="2">
        <v>7.0918089999999996</v>
      </c>
      <c r="C181" s="2">
        <v>9.0383999999999993</v>
      </c>
      <c r="D181" s="2">
        <v>2488.7578709999998</v>
      </c>
      <c r="E181" s="5">
        <v>660.00833999999998</v>
      </c>
      <c r="F181" s="2">
        <v>54.951599999999999</v>
      </c>
      <c r="G181" s="2">
        <v>10.2319</v>
      </c>
      <c r="H181" s="2">
        <v>32.398600000000002</v>
      </c>
      <c r="I181" s="2">
        <v>5839.7951000000003</v>
      </c>
      <c r="J181" s="5">
        <v>3.6319789999999998</v>
      </c>
      <c r="K181" s="2">
        <v>27.563099999999999</v>
      </c>
      <c r="L181" s="2">
        <v>8.2198159999999998</v>
      </c>
      <c r="M181" s="2">
        <v>4.905049</v>
      </c>
      <c r="N181" s="2">
        <v>103.8353</v>
      </c>
      <c r="O181" s="2">
        <v>9.3010999999999999</v>
      </c>
      <c r="P181" s="2">
        <v>0.92869999999999997</v>
      </c>
      <c r="Q181" s="2">
        <v>1971.8297</v>
      </c>
      <c r="R181" s="2">
        <v>1.706</v>
      </c>
      <c r="S181" s="2">
        <v>11.137385999999999</v>
      </c>
      <c r="T181" s="2">
        <v>139.1618</v>
      </c>
      <c r="U181" s="2">
        <v>2.1718000000000002</v>
      </c>
    </row>
    <row r="182" spans="1:21" customFormat="1" x14ac:dyDescent="0.5">
      <c r="A182" s="1" t="s">
        <v>286</v>
      </c>
      <c r="B182" s="2">
        <v>7.4034409999999999</v>
      </c>
      <c r="C182" s="2">
        <v>9.1968999999999994</v>
      </c>
      <c r="D182" s="2">
        <v>2533.8860599999998</v>
      </c>
      <c r="E182" s="5">
        <v>682.22975899999994</v>
      </c>
      <c r="F182" s="2">
        <v>56.557299999999998</v>
      </c>
      <c r="G182" s="2">
        <v>10.5114</v>
      </c>
      <c r="H182" s="2">
        <v>33.103499999999997</v>
      </c>
      <c r="I182" s="2">
        <v>5895.5324000000001</v>
      </c>
      <c r="J182" s="5">
        <v>3.7289729999999999</v>
      </c>
      <c r="K182" s="2">
        <v>29.0883</v>
      </c>
      <c r="L182" s="2">
        <v>8.3639559999999999</v>
      </c>
      <c r="M182" s="2">
        <v>4.9910629999999996</v>
      </c>
      <c r="N182" s="2">
        <v>106.87609999999999</v>
      </c>
      <c r="O182" s="2">
        <v>9.2891999999999992</v>
      </c>
      <c r="P182" s="2">
        <v>0.94499999999999995</v>
      </c>
      <c r="Q182" s="2">
        <v>2006.4070999999999</v>
      </c>
      <c r="R182" s="2">
        <v>1.6841999999999999</v>
      </c>
      <c r="S182" s="2">
        <v>11.169554</v>
      </c>
      <c r="T182" s="2">
        <v>148.39080000000001</v>
      </c>
      <c r="U182" s="2">
        <v>2.1917</v>
      </c>
    </row>
    <row r="183" spans="1:21" customFormat="1" x14ac:dyDescent="0.5">
      <c r="A183" s="1" t="s">
        <v>287</v>
      </c>
      <c r="B183" s="2">
        <v>7.635955</v>
      </c>
      <c r="C183" s="2">
        <v>9.2233999999999998</v>
      </c>
      <c r="D183" s="2">
        <v>2560.9230010000001</v>
      </c>
      <c r="E183" s="5">
        <v>673.23568799999998</v>
      </c>
      <c r="F183" s="2">
        <v>57.003599999999999</v>
      </c>
      <c r="G183" s="2">
        <v>10.598599999999999</v>
      </c>
      <c r="H183" s="2">
        <v>33.334699999999998</v>
      </c>
      <c r="I183" s="2">
        <v>5935.0412999999999</v>
      </c>
      <c r="J183" s="5">
        <v>3.7088109999999999</v>
      </c>
      <c r="K183" s="2">
        <v>29.558900000000001</v>
      </c>
      <c r="L183" s="2">
        <v>8.38809</v>
      </c>
      <c r="M183" s="2">
        <v>5.0054639999999999</v>
      </c>
      <c r="N183" s="2">
        <v>108.90600000000001</v>
      </c>
      <c r="O183" s="2">
        <v>9.3255999999999997</v>
      </c>
      <c r="P183" s="2">
        <v>0.94769999999999999</v>
      </c>
      <c r="Q183" s="2">
        <v>2012.1966</v>
      </c>
      <c r="R183" s="2">
        <v>1.7135</v>
      </c>
      <c r="S183" s="2">
        <v>11.166411999999999</v>
      </c>
      <c r="T183" s="2">
        <v>179.9676</v>
      </c>
      <c r="U183" s="2">
        <v>2.2033</v>
      </c>
    </row>
    <row r="184" spans="1:21" customFormat="1" x14ac:dyDescent="0.5">
      <c r="A184" s="1" t="s">
        <v>288</v>
      </c>
      <c r="B184" s="2">
        <v>7.9484979999999998</v>
      </c>
      <c r="C184" s="2">
        <v>9.4217999999999993</v>
      </c>
      <c r="D184" s="2">
        <v>2571.5566960000001</v>
      </c>
      <c r="E184" s="5">
        <v>682.99120400000004</v>
      </c>
      <c r="F184" s="2">
        <v>57.9694</v>
      </c>
      <c r="G184" s="2">
        <v>10.849600000000001</v>
      </c>
      <c r="H184" s="2">
        <v>34.190600000000003</v>
      </c>
      <c r="I184" s="2">
        <v>6060.1907000000001</v>
      </c>
      <c r="J184" s="5">
        <v>3.7756820000000002</v>
      </c>
      <c r="K184" s="2">
        <v>29.499099999999999</v>
      </c>
      <c r="L184" s="2">
        <v>8.568479</v>
      </c>
      <c r="M184" s="2">
        <v>5.1131089999999997</v>
      </c>
      <c r="N184" s="2">
        <v>110.9096</v>
      </c>
      <c r="O184" s="2">
        <v>9.3927999999999994</v>
      </c>
      <c r="P184" s="2">
        <v>0.96809999999999996</v>
      </c>
      <c r="Q184" s="2">
        <v>2055.4697000000001</v>
      </c>
      <c r="R184" s="2">
        <v>1.7123999999999999</v>
      </c>
      <c r="S184" s="2">
        <v>11.205520999999999</v>
      </c>
      <c r="T184" s="2">
        <v>188.13669999999999</v>
      </c>
      <c r="U184" s="2">
        <v>2.2353000000000001</v>
      </c>
    </row>
    <row r="185" spans="1:21" customFormat="1" x14ac:dyDescent="0.5">
      <c r="A185" s="1" t="s">
        <v>289</v>
      </c>
      <c r="B185" s="2">
        <v>8.0935410000000001</v>
      </c>
      <c r="C185" s="2">
        <v>9.3236000000000008</v>
      </c>
      <c r="D185" s="2">
        <v>2591.0440010000002</v>
      </c>
      <c r="E185" s="5">
        <v>700.61908000000005</v>
      </c>
      <c r="F185" s="2">
        <v>57.379399999999997</v>
      </c>
      <c r="G185" s="2">
        <v>10.651400000000001</v>
      </c>
      <c r="H185" s="2">
        <v>33.972700000000003</v>
      </c>
      <c r="I185" s="2">
        <v>5971.5316999999995</v>
      </c>
      <c r="J185" s="5">
        <v>3.7754500000000002</v>
      </c>
      <c r="K185" s="2">
        <v>28.804500000000001</v>
      </c>
      <c r="L185" s="2">
        <v>8.4792109999999994</v>
      </c>
      <c r="M185" s="2">
        <v>5.0598390000000002</v>
      </c>
      <c r="N185" s="2">
        <v>108.3711</v>
      </c>
      <c r="O185" s="2">
        <v>9.3702000000000005</v>
      </c>
      <c r="P185" s="2">
        <v>0.95799999999999996</v>
      </c>
      <c r="Q185" s="2">
        <v>2034.0554</v>
      </c>
      <c r="R185" s="2">
        <v>1.7189000000000001</v>
      </c>
      <c r="S185" s="2">
        <v>11.191606999999999</v>
      </c>
      <c r="T185" s="2">
        <v>190.64930000000001</v>
      </c>
      <c r="U185" s="2">
        <v>2.2511999999999999</v>
      </c>
    </row>
    <row r="186" spans="1:21" customFormat="1" x14ac:dyDescent="0.5">
      <c r="A186" s="1" t="s">
        <v>290</v>
      </c>
      <c r="B186" s="2">
        <v>8.6370909999999999</v>
      </c>
      <c r="C186" s="2">
        <v>9.4692000000000007</v>
      </c>
      <c r="D186" s="2">
        <v>2652.6840430000002</v>
      </c>
      <c r="E186" s="5">
        <v>725.537102</v>
      </c>
      <c r="F186" s="2">
        <v>58.513800000000003</v>
      </c>
      <c r="G186" s="2">
        <v>10.7704</v>
      </c>
      <c r="H186" s="2">
        <v>34.644100000000002</v>
      </c>
      <c r="I186" s="2">
        <v>6199.5151999999998</v>
      </c>
      <c r="J186" s="5">
        <v>3.8167949999999999</v>
      </c>
      <c r="K186" s="2">
        <v>29.274999999999999</v>
      </c>
      <c r="L186" s="2">
        <v>8.6116159999999997</v>
      </c>
      <c r="M186" s="2">
        <v>5.1388499999999997</v>
      </c>
      <c r="N186" s="2">
        <v>107.78830000000001</v>
      </c>
      <c r="O186" s="2">
        <v>9.5138999999999996</v>
      </c>
      <c r="P186" s="2">
        <v>0.97299999999999998</v>
      </c>
      <c r="Q186" s="2">
        <v>2065.8177000000001</v>
      </c>
      <c r="R186" s="2">
        <v>1.7323999999999999</v>
      </c>
      <c r="S186" s="2">
        <v>11.220488</v>
      </c>
      <c r="T186" s="2">
        <v>194.77029999999999</v>
      </c>
      <c r="U186" s="2">
        <v>2.2755000000000001</v>
      </c>
    </row>
    <row r="187" spans="1:21" customFormat="1" x14ac:dyDescent="0.5">
      <c r="A187" s="1" t="s">
        <v>291</v>
      </c>
      <c r="B187" s="2">
        <v>9.6218120000000003</v>
      </c>
      <c r="C187" s="2">
        <v>9.4047000000000001</v>
      </c>
      <c r="D187" s="2">
        <v>2670.4725229999999</v>
      </c>
      <c r="E187" s="5">
        <v>730.90941699999996</v>
      </c>
      <c r="F187" s="2">
        <v>58.482100000000003</v>
      </c>
      <c r="G187" s="2">
        <v>10.6747</v>
      </c>
      <c r="H187" s="2">
        <v>34.550899999999999</v>
      </c>
      <c r="I187" s="2">
        <v>6308.6364000000003</v>
      </c>
      <c r="J187" s="5">
        <v>3.8230200000000001</v>
      </c>
      <c r="K187" s="2">
        <v>29.4742</v>
      </c>
      <c r="L187" s="2">
        <v>8.5529390000000003</v>
      </c>
      <c r="M187" s="2">
        <v>5.1038350000000001</v>
      </c>
      <c r="N187" s="2">
        <v>106.3058</v>
      </c>
      <c r="O187" s="2">
        <v>9.3841999999999999</v>
      </c>
      <c r="P187" s="2">
        <v>0.96630000000000005</v>
      </c>
      <c r="Q187" s="2">
        <v>2051.7417999999998</v>
      </c>
      <c r="R187" s="2">
        <v>1.7010000000000001</v>
      </c>
      <c r="S187" s="2">
        <v>11.204667000000001</v>
      </c>
      <c r="T187" s="2">
        <v>193.3734</v>
      </c>
      <c r="U187" s="2">
        <v>2.2309000000000001</v>
      </c>
    </row>
    <row r="188" spans="1:21" customFormat="1" x14ac:dyDescent="0.5">
      <c r="A188" s="1" t="s">
        <v>292</v>
      </c>
      <c r="B188" s="2">
        <v>10.644819999999999</v>
      </c>
      <c r="C188" s="2">
        <v>9.4380000000000006</v>
      </c>
      <c r="D188" s="2">
        <v>2788.2530190000002</v>
      </c>
      <c r="E188" s="5">
        <v>757.24089900000001</v>
      </c>
      <c r="F188" s="2">
        <v>58.979700000000001</v>
      </c>
      <c r="G188" s="2">
        <v>10.593999999999999</v>
      </c>
      <c r="H188" s="2">
        <v>34.810499999999998</v>
      </c>
      <c r="I188" s="2">
        <v>6163.5964999999997</v>
      </c>
      <c r="J188" s="5">
        <v>3.8416579999999998</v>
      </c>
      <c r="K188" s="2">
        <v>30.5594</v>
      </c>
      <c r="L188" s="2">
        <v>8.5832750000000004</v>
      </c>
      <c r="M188" s="2">
        <v>5.1219380000000001</v>
      </c>
      <c r="N188" s="2">
        <v>106.4415</v>
      </c>
      <c r="O188" s="2">
        <v>9.6085999999999991</v>
      </c>
      <c r="P188" s="2">
        <v>0.9698</v>
      </c>
      <c r="Q188" s="2">
        <v>2059.0189</v>
      </c>
      <c r="R188" s="2">
        <v>1.7335</v>
      </c>
      <c r="S188" s="2">
        <v>11.211436000000001</v>
      </c>
      <c r="T188" s="2">
        <v>198.75530000000001</v>
      </c>
      <c r="U188" s="2">
        <v>2.1728999999999998</v>
      </c>
    </row>
    <row r="189" spans="1:21" customFormat="1" x14ac:dyDescent="0.5">
      <c r="A189" s="1" t="s">
        <v>293</v>
      </c>
      <c r="B189" s="2">
        <v>10.895835</v>
      </c>
      <c r="C189" s="2">
        <v>9.5513999999999992</v>
      </c>
      <c r="D189" s="2">
        <v>2789.7039500000001</v>
      </c>
      <c r="E189" s="5">
        <v>779.10291700000005</v>
      </c>
      <c r="F189" s="2">
        <v>59.739400000000003</v>
      </c>
      <c r="G189" s="2">
        <v>10.6821</v>
      </c>
      <c r="H189" s="2">
        <v>35.367699999999999</v>
      </c>
      <c r="I189" s="2">
        <v>6114.7771000000002</v>
      </c>
      <c r="J189" s="5">
        <v>3.879127</v>
      </c>
      <c r="K189" s="2">
        <v>31.2866</v>
      </c>
      <c r="L189" s="2">
        <v>8.6863499999999991</v>
      </c>
      <c r="M189" s="2">
        <v>5.183446</v>
      </c>
      <c r="N189" s="2">
        <v>107.3236</v>
      </c>
      <c r="O189" s="2">
        <v>9.5940999999999992</v>
      </c>
      <c r="P189" s="2">
        <v>0.98140000000000005</v>
      </c>
      <c r="Q189" s="2">
        <v>2083.7455</v>
      </c>
      <c r="R189" s="2">
        <v>1.7217</v>
      </c>
      <c r="S189" s="2">
        <v>11.233052000000001</v>
      </c>
      <c r="T189" s="2">
        <v>199.80189999999999</v>
      </c>
      <c r="U189" s="2">
        <v>2.1808999999999998</v>
      </c>
    </row>
    <row r="190" spans="1:21" customFormat="1" x14ac:dyDescent="0.5">
      <c r="A190" s="1" t="s">
        <v>294</v>
      </c>
      <c r="B190" s="2">
        <v>10.981870000000001</v>
      </c>
      <c r="C190" s="2">
        <v>9.5443999999999996</v>
      </c>
      <c r="D190" s="2">
        <v>2678.1967880000002</v>
      </c>
      <c r="E190" s="5">
        <v>766.09781499999997</v>
      </c>
      <c r="F190" s="2">
        <v>59.674999999999997</v>
      </c>
      <c r="G190" s="2">
        <v>10.7012</v>
      </c>
      <c r="H190" s="2">
        <v>35.486499999999999</v>
      </c>
      <c r="I190" s="2">
        <v>6123.3630999999996</v>
      </c>
      <c r="J190" s="5">
        <v>3.8597299999999999</v>
      </c>
      <c r="K190" s="2">
        <v>31.5657</v>
      </c>
      <c r="L190" s="2">
        <v>8.6800510000000006</v>
      </c>
      <c r="M190" s="2">
        <v>5.1796879999999996</v>
      </c>
      <c r="N190" s="2">
        <v>108.5651</v>
      </c>
      <c r="O190" s="2">
        <v>9.6646999999999998</v>
      </c>
      <c r="P190" s="2">
        <v>0.98070000000000002</v>
      </c>
      <c r="Q190" s="2">
        <v>2082.2343999999998</v>
      </c>
      <c r="R190" s="2">
        <v>1.7286999999999999</v>
      </c>
      <c r="S190" s="2">
        <v>11.23353</v>
      </c>
      <c r="T190" s="2">
        <v>204.67529999999999</v>
      </c>
      <c r="U190" s="2">
        <v>2.194</v>
      </c>
    </row>
    <row r="191" spans="1:21" customFormat="1" x14ac:dyDescent="0.5">
      <c r="A191" s="1" t="s">
        <v>295</v>
      </c>
      <c r="B191" s="2">
        <v>10.975896000000001</v>
      </c>
      <c r="C191" s="2">
        <v>9.4888999999999992</v>
      </c>
      <c r="D191" s="2">
        <v>2633.6922559999998</v>
      </c>
      <c r="E191" s="5">
        <v>763.65064400000006</v>
      </c>
      <c r="F191" s="2">
        <v>59.4373</v>
      </c>
      <c r="G191" s="2">
        <v>10.623699999999999</v>
      </c>
      <c r="H191" s="2">
        <v>35.424100000000003</v>
      </c>
      <c r="I191" s="2">
        <v>6071.8504999999996</v>
      </c>
      <c r="J191" s="5">
        <v>3.837774</v>
      </c>
      <c r="K191" s="2">
        <v>31.614100000000001</v>
      </c>
      <c r="L191" s="2">
        <v>8.6295529999999996</v>
      </c>
      <c r="M191" s="2">
        <v>5.1495540000000002</v>
      </c>
      <c r="N191" s="2">
        <v>108.2089</v>
      </c>
      <c r="O191" s="2">
        <v>9.6348000000000003</v>
      </c>
      <c r="P191" s="2">
        <v>0.97499999999999998</v>
      </c>
      <c r="Q191" s="2">
        <v>2070.1205</v>
      </c>
      <c r="R191" s="2">
        <v>1.6990000000000001</v>
      </c>
      <c r="S191" s="2">
        <v>11.226694</v>
      </c>
      <c r="T191" s="2">
        <v>203.08449999999999</v>
      </c>
      <c r="U191" s="2">
        <v>2.2246999999999999</v>
      </c>
    </row>
    <row r="192" spans="1:21" customFormat="1" x14ac:dyDescent="0.5">
      <c r="A192" s="1" t="s">
        <v>296</v>
      </c>
      <c r="B192" s="2">
        <v>10.975916</v>
      </c>
      <c r="C192" s="2">
        <v>9.3923000000000005</v>
      </c>
      <c r="D192" s="2">
        <v>2566.6900719999999</v>
      </c>
      <c r="E192" s="5">
        <v>751.74022100000002</v>
      </c>
      <c r="F192" s="2">
        <v>59.101199999999999</v>
      </c>
      <c r="G192" s="2">
        <v>10.609500000000001</v>
      </c>
      <c r="H192" s="2">
        <v>35.206800000000001</v>
      </c>
      <c r="I192" s="2">
        <v>5987.1243999999997</v>
      </c>
      <c r="J192" s="5">
        <v>3.798035</v>
      </c>
      <c r="K192" s="2">
        <v>31.202500000000001</v>
      </c>
      <c r="L192" s="2">
        <v>8.5417240000000003</v>
      </c>
      <c r="M192" s="2">
        <v>5.097143</v>
      </c>
      <c r="N192" s="2">
        <v>107.7794</v>
      </c>
      <c r="O192" s="2">
        <v>9.7558000000000007</v>
      </c>
      <c r="P192" s="2">
        <v>0.96509999999999996</v>
      </c>
      <c r="Q192" s="2">
        <v>2049.0513999999998</v>
      </c>
      <c r="R192" s="2">
        <v>1.7169000000000001</v>
      </c>
      <c r="S192" s="2">
        <v>11.202918</v>
      </c>
      <c r="T192" s="2">
        <v>204.44659999999999</v>
      </c>
      <c r="U192" s="2">
        <v>2.2555000000000001</v>
      </c>
    </row>
    <row r="193" spans="1:21" customFormat="1" x14ac:dyDescent="0.5">
      <c r="A193" s="1" t="s">
        <v>297</v>
      </c>
      <c r="B193" s="2">
        <v>10.999107</v>
      </c>
      <c r="C193" s="2">
        <v>9.3556000000000008</v>
      </c>
      <c r="D193" s="2">
        <v>2535.1155410000001</v>
      </c>
      <c r="E193" s="5">
        <v>755.77022699999998</v>
      </c>
      <c r="F193" s="2">
        <v>58.9968</v>
      </c>
      <c r="G193" s="2">
        <v>10.5252</v>
      </c>
      <c r="H193" s="2">
        <v>35.212299999999999</v>
      </c>
      <c r="I193" s="2">
        <v>5777.5811000000003</v>
      </c>
      <c r="J193" s="5">
        <v>3.7721429999999998</v>
      </c>
      <c r="K193" s="2">
        <v>31.144200000000001</v>
      </c>
      <c r="L193" s="2">
        <v>8.5082880000000003</v>
      </c>
      <c r="M193" s="2">
        <v>5.0771899999999999</v>
      </c>
      <c r="N193" s="2">
        <v>108.08620000000001</v>
      </c>
      <c r="O193" s="2">
        <v>9.5596999999999994</v>
      </c>
      <c r="P193" s="2">
        <v>0.96130000000000004</v>
      </c>
      <c r="Q193" s="2">
        <v>2041.0305000000001</v>
      </c>
      <c r="R193" s="2">
        <v>1.6774</v>
      </c>
      <c r="S193" s="2">
        <v>11.181407999999999</v>
      </c>
      <c r="T193" s="2">
        <v>200.69839999999999</v>
      </c>
      <c r="U193" s="2">
        <v>2.3129</v>
      </c>
    </row>
    <row r="194" spans="1:21" customFormat="1" x14ac:dyDescent="0.5">
      <c r="A194" s="1" t="s">
        <v>298</v>
      </c>
      <c r="B194" s="2">
        <v>11.010612999999999</v>
      </c>
      <c r="C194" s="2">
        <v>9.2013999999999996</v>
      </c>
      <c r="D194" s="2">
        <v>2527.8762529999999</v>
      </c>
      <c r="E194" s="5">
        <v>771.06849499999998</v>
      </c>
      <c r="F194" s="2">
        <v>58.060299999999998</v>
      </c>
      <c r="G194" s="2">
        <v>10.389900000000001</v>
      </c>
      <c r="H194" s="2">
        <v>34.7759</v>
      </c>
      <c r="I194" s="2">
        <v>5683.1157000000003</v>
      </c>
      <c r="J194" s="5">
        <v>3.7478150000000001</v>
      </c>
      <c r="K194" s="2">
        <v>31.585000000000001</v>
      </c>
      <c r="L194" s="2">
        <v>8.3681009999999993</v>
      </c>
      <c r="M194" s="2">
        <v>4.9935359999999998</v>
      </c>
      <c r="N194" s="2">
        <v>106.9614</v>
      </c>
      <c r="O194" s="2">
        <v>9.4228000000000005</v>
      </c>
      <c r="P194" s="2">
        <v>0.94540000000000002</v>
      </c>
      <c r="Q194" s="2">
        <v>2007.4014</v>
      </c>
      <c r="R194" s="2">
        <v>1.6698</v>
      </c>
      <c r="S194" s="2">
        <v>11.159465000000001</v>
      </c>
      <c r="T194" s="2">
        <v>200.49719999999999</v>
      </c>
      <c r="U194" s="2">
        <v>2.2972999999999999</v>
      </c>
    </row>
    <row r="195" spans="1:21" customFormat="1" x14ac:dyDescent="0.5">
      <c r="A195" s="1" t="s">
        <v>299</v>
      </c>
      <c r="B195" s="2">
        <v>10.793222</v>
      </c>
      <c r="C195" s="2">
        <v>8.9147999999999996</v>
      </c>
      <c r="D195" s="2">
        <v>2546.4363210000001</v>
      </c>
      <c r="E195" s="5">
        <v>765.65722800000003</v>
      </c>
      <c r="F195" s="2">
        <v>56.463000000000001</v>
      </c>
      <c r="G195" s="2">
        <v>9.9571000000000005</v>
      </c>
      <c r="H195" s="2">
        <v>33.830500000000001</v>
      </c>
      <c r="I195" s="2">
        <v>5591.9394000000002</v>
      </c>
      <c r="J195" s="5">
        <v>3.6949510000000001</v>
      </c>
      <c r="K195" s="2">
        <v>31.3752</v>
      </c>
      <c r="L195" s="2">
        <v>8.1074750000000009</v>
      </c>
      <c r="M195" s="2">
        <v>4.8380109999999998</v>
      </c>
      <c r="N195" s="2">
        <v>104.7409</v>
      </c>
      <c r="O195" s="2">
        <v>8.9906000000000006</v>
      </c>
      <c r="P195" s="2">
        <v>0.91600000000000004</v>
      </c>
      <c r="Q195" s="2">
        <v>1944.8806</v>
      </c>
      <c r="R195" s="2">
        <v>1.6220000000000001</v>
      </c>
      <c r="S195" s="2">
        <v>11.117984999999999</v>
      </c>
      <c r="T195" s="2">
        <v>198.66040000000001</v>
      </c>
      <c r="U195" s="2">
        <v>2.2852000000000001</v>
      </c>
    </row>
    <row r="196" spans="1:21" customFormat="1" x14ac:dyDescent="0.5">
      <c r="A196" s="1" t="s">
        <v>300</v>
      </c>
      <c r="B196" s="2">
        <v>10.659502</v>
      </c>
      <c r="C196" s="2">
        <v>8.7568999999999999</v>
      </c>
      <c r="D196" s="2">
        <v>2594.0644400000001</v>
      </c>
      <c r="E196" s="5">
        <v>746.64956400000005</v>
      </c>
      <c r="F196" s="2">
        <v>55.644100000000002</v>
      </c>
      <c r="G196" s="2">
        <v>9.6800999999999995</v>
      </c>
      <c r="H196" s="2">
        <v>33.366700000000002</v>
      </c>
      <c r="I196" s="2">
        <v>5796.8483999999999</v>
      </c>
      <c r="J196" s="5">
        <v>3.6827559999999999</v>
      </c>
      <c r="K196" s="2">
        <v>30.814699999999998</v>
      </c>
      <c r="L196" s="2">
        <v>7.9638030000000004</v>
      </c>
      <c r="M196" s="2">
        <v>4.7522770000000003</v>
      </c>
      <c r="N196" s="2">
        <v>105.7839</v>
      </c>
      <c r="O196" s="2">
        <v>8.9499999999999993</v>
      </c>
      <c r="P196" s="2">
        <v>0.89980000000000004</v>
      </c>
      <c r="Q196" s="2">
        <v>1910.4154000000001</v>
      </c>
      <c r="R196" s="2">
        <v>1.6283000000000001</v>
      </c>
      <c r="S196" s="2">
        <v>11.058721999999999</v>
      </c>
      <c r="T196" s="2">
        <v>204.36660000000001</v>
      </c>
      <c r="U196" s="2">
        <v>2.2831000000000001</v>
      </c>
    </row>
    <row r="197" spans="1:21" customFormat="1" x14ac:dyDescent="0.5">
      <c r="A197" s="1" t="s">
        <v>301</v>
      </c>
      <c r="B197" s="2">
        <v>10.554945999999999</v>
      </c>
      <c r="C197" s="2">
        <v>8.6182999999999996</v>
      </c>
      <c r="D197" s="2">
        <v>2647.233804</v>
      </c>
      <c r="E197" s="5">
        <v>738.92733799999996</v>
      </c>
      <c r="F197" s="2">
        <v>55.061500000000002</v>
      </c>
      <c r="G197" s="2">
        <v>9.5001999999999995</v>
      </c>
      <c r="H197" s="2">
        <v>32.972900000000003</v>
      </c>
      <c r="I197" s="2">
        <v>5789.4498999999996</v>
      </c>
      <c r="J197" s="5">
        <v>3.648212</v>
      </c>
      <c r="K197" s="2">
        <v>29.924399999999999</v>
      </c>
      <c r="L197" s="2">
        <v>7.8377800000000004</v>
      </c>
      <c r="M197" s="2">
        <v>4.6770750000000003</v>
      </c>
      <c r="N197" s="2">
        <v>105.7276</v>
      </c>
      <c r="O197" s="2">
        <v>8.9196000000000009</v>
      </c>
      <c r="P197" s="2">
        <v>0.88549999999999995</v>
      </c>
      <c r="Q197" s="2">
        <v>1880.1841999999999</v>
      </c>
      <c r="R197" s="2">
        <v>1.6444000000000001</v>
      </c>
      <c r="S197" s="2">
        <v>11.029866</v>
      </c>
      <c r="T197" s="2">
        <v>212.38579999999999</v>
      </c>
      <c r="U197" s="2">
        <v>2.2871999999999999</v>
      </c>
    </row>
    <row r="198" spans="1:21" customFormat="1" x14ac:dyDescent="0.5">
      <c r="A198" s="1" t="s">
        <v>302</v>
      </c>
      <c r="B198" s="2">
        <v>10.489421999999999</v>
      </c>
      <c r="C198" s="2">
        <v>8.5210000000000008</v>
      </c>
      <c r="D198" s="2">
        <v>2886.018114</v>
      </c>
      <c r="E198" s="5">
        <v>755.81084999999996</v>
      </c>
      <c r="F198" s="2">
        <v>54.579300000000003</v>
      </c>
      <c r="G198" s="2">
        <v>9.3964999999999996</v>
      </c>
      <c r="H198" s="2">
        <v>32.733600000000003</v>
      </c>
      <c r="I198" s="2">
        <v>5708.5325000000003</v>
      </c>
      <c r="J198" s="5">
        <v>3.6519240000000002</v>
      </c>
      <c r="K198" s="2">
        <v>29.726900000000001</v>
      </c>
      <c r="L198" s="2">
        <v>7.7492559999999999</v>
      </c>
      <c r="M198" s="2">
        <v>4.62425</v>
      </c>
      <c r="N198" s="2">
        <v>107.26560000000001</v>
      </c>
      <c r="O198" s="2">
        <v>8.6746999999999996</v>
      </c>
      <c r="P198" s="2">
        <v>0.87549999999999994</v>
      </c>
      <c r="Q198" s="2">
        <v>1858.9485</v>
      </c>
      <c r="R198" s="2">
        <v>1.6104000000000001</v>
      </c>
      <c r="S198" s="2">
        <v>11.013661000000001</v>
      </c>
      <c r="T198" s="2">
        <v>215.78200000000001</v>
      </c>
      <c r="U198" s="2">
        <v>2.2888999999999999</v>
      </c>
    </row>
    <row r="199" spans="1:21" customFormat="1" x14ac:dyDescent="0.5">
      <c r="A199" s="1" t="s">
        <v>303</v>
      </c>
      <c r="B199" s="2">
        <v>9.9431550000000009</v>
      </c>
      <c r="C199" s="2">
        <v>8.0303000000000004</v>
      </c>
      <c r="D199" s="2">
        <v>2787.6595860000002</v>
      </c>
      <c r="E199" s="5">
        <v>722.072586</v>
      </c>
      <c r="F199" s="2">
        <v>51.840400000000002</v>
      </c>
      <c r="G199" s="2">
        <v>8.8793000000000006</v>
      </c>
      <c r="H199" s="2">
        <v>30.977</v>
      </c>
      <c r="I199" s="2">
        <v>5524.2285000000002</v>
      </c>
      <c r="J199" s="5">
        <v>3.4928210000000002</v>
      </c>
      <c r="K199" s="2">
        <v>28.437899999999999</v>
      </c>
      <c r="L199" s="2">
        <v>7.3030780000000002</v>
      </c>
      <c r="M199" s="2">
        <v>4.3579999999999997</v>
      </c>
      <c r="N199" s="2">
        <v>107.9636</v>
      </c>
      <c r="O199" s="2">
        <v>8.2065999999999999</v>
      </c>
      <c r="P199" s="2">
        <v>0.82509999999999994</v>
      </c>
      <c r="Q199" s="2">
        <v>1751.9159999999999</v>
      </c>
      <c r="R199" s="2">
        <v>1.5377000000000001</v>
      </c>
      <c r="S199" s="2">
        <v>10.88597</v>
      </c>
      <c r="T199" s="2">
        <v>208.87119999999999</v>
      </c>
      <c r="U199" s="2">
        <v>2.2206000000000001</v>
      </c>
    </row>
    <row r="200" spans="1:21" customFormat="1" x14ac:dyDescent="0.5">
      <c r="A200" s="1" t="s">
        <v>304</v>
      </c>
      <c r="B200" s="2">
        <v>9.8045209999999994</v>
      </c>
      <c r="C200" s="2">
        <v>7.8426</v>
      </c>
      <c r="D200" s="2">
        <v>2752.6192649999998</v>
      </c>
      <c r="E200" s="5">
        <v>707.78403600000001</v>
      </c>
      <c r="F200" s="2">
        <v>50.9392</v>
      </c>
      <c r="G200" s="2">
        <v>8.673</v>
      </c>
      <c r="H200" s="2">
        <v>30.372399999999999</v>
      </c>
      <c r="I200" s="2">
        <v>5402.4853000000003</v>
      </c>
      <c r="J200" s="5">
        <v>3.4939900000000002</v>
      </c>
      <c r="K200" s="2">
        <v>27.890499999999999</v>
      </c>
      <c r="L200" s="2">
        <v>7.1323470000000002</v>
      </c>
      <c r="M200" s="2">
        <v>4.256119</v>
      </c>
      <c r="N200" s="2">
        <v>106.6397</v>
      </c>
      <c r="O200" s="2">
        <v>8.5418000000000003</v>
      </c>
      <c r="P200" s="2">
        <v>0.80579999999999996</v>
      </c>
      <c r="Q200" s="2">
        <v>1710.9597000000001</v>
      </c>
      <c r="R200" s="2">
        <v>1.5379</v>
      </c>
      <c r="S200" s="2">
        <v>10.823219</v>
      </c>
      <c r="T200" s="2">
        <v>226.84569999999999</v>
      </c>
      <c r="U200" s="2">
        <v>2.1907000000000001</v>
      </c>
    </row>
    <row r="201" spans="1:21" customFormat="1" x14ac:dyDescent="0.5">
      <c r="A201" s="1" t="s">
        <v>305</v>
      </c>
      <c r="B201" s="2">
        <v>9.4694240000000001</v>
      </c>
      <c r="C201" s="2">
        <v>7.4888000000000003</v>
      </c>
      <c r="D201" s="2">
        <v>2803.2515549999998</v>
      </c>
      <c r="E201" s="5">
        <v>681.15175099999999</v>
      </c>
      <c r="F201" s="2">
        <v>48.501199999999997</v>
      </c>
      <c r="G201" s="2">
        <v>8.2654999999999994</v>
      </c>
      <c r="H201" s="2">
        <v>29.116900000000001</v>
      </c>
      <c r="I201" s="2">
        <v>5164.1655000000001</v>
      </c>
      <c r="J201" s="5">
        <v>3.3506860000000001</v>
      </c>
      <c r="K201" s="2">
        <v>27.404599999999999</v>
      </c>
      <c r="L201" s="2">
        <v>6.8106159999999996</v>
      </c>
      <c r="M201" s="2">
        <v>4.0641309999999997</v>
      </c>
      <c r="N201" s="2">
        <v>104.5613</v>
      </c>
      <c r="O201" s="2">
        <v>8.1792999999999996</v>
      </c>
      <c r="P201" s="2">
        <v>0.76949999999999996</v>
      </c>
      <c r="Q201" s="2">
        <v>1633.7805000000001</v>
      </c>
      <c r="R201" s="2">
        <v>1.5011000000000001</v>
      </c>
      <c r="S201" s="2">
        <v>10.728443</v>
      </c>
      <c r="T201" s="2">
        <v>226.12190000000001</v>
      </c>
      <c r="U201" s="2">
        <v>2.1244000000000001</v>
      </c>
    </row>
    <row r="202" spans="1:21" customFormat="1" x14ac:dyDescent="0.5">
      <c r="A202" s="1" t="s">
        <v>306</v>
      </c>
      <c r="B202" s="2">
        <v>9.5062650000000009</v>
      </c>
      <c r="C202" s="2">
        <v>7.4485000000000001</v>
      </c>
      <c r="D202" s="2">
        <v>2689.8277170000001</v>
      </c>
      <c r="E202" s="5">
        <v>662.71773399999995</v>
      </c>
      <c r="F202" s="2">
        <v>48.288200000000003</v>
      </c>
      <c r="G202" s="2">
        <v>8.3055000000000003</v>
      </c>
      <c r="H202" s="2">
        <v>29.078299999999999</v>
      </c>
      <c r="I202" s="2">
        <v>5349.4173000000001</v>
      </c>
      <c r="J202" s="5">
        <v>3.3630900000000001</v>
      </c>
      <c r="K202" s="2">
        <v>28.404599999999999</v>
      </c>
      <c r="L202" s="2">
        <v>6.7739279999999997</v>
      </c>
      <c r="M202" s="2">
        <v>4.0422380000000002</v>
      </c>
      <c r="N202" s="2">
        <v>105.66330000000001</v>
      </c>
      <c r="O202" s="2">
        <v>8.5276999999999994</v>
      </c>
      <c r="P202" s="2">
        <v>0.76529999999999998</v>
      </c>
      <c r="Q202" s="2">
        <v>1624.9794999999999</v>
      </c>
      <c r="R202" s="2">
        <v>1.5660000000000001</v>
      </c>
      <c r="S202" s="2">
        <v>10.706225999999999</v>
      </c>
      <c r="T202" s="2">
        <v>242.60290000000001</v>
      </c>
      <c r="U202" s="2">
        <v>2.1069</v>
      </c>
    </row>
    <row r="203" spans="1:21" customFormat="1" x14ac:dyDescent="0.5">
      <c r="A203" s="1" t="s">
        <v>307</v>
      </c>
      <c r="B203" s="2">
        <v>9.9260339999999996</v>
      </c>
      <c r="C203" s="2">
        <v>7.7042999999999999</v>
      </c>
      <c r="D203" s="2">
        <v>2715.6847440000001</v>
      </c>
      <c r="E203" s="5">
        <v>677.55257900000004</v>
      </c>
      <c r="F203" s="2">
        <v>50.022599999999997</v>
      </c>
      <c r="G203" s="2">
        <v>8.5625999999999998</v>
      </c>
      <c r="H203" s="2">
        <v>30.2</v>
      </c>
      <c r="I203" s="2">
        <v>5651.8599000000004</v>
      </c>
      <c r="J203" s="5">
        <v>3.51261</v>
      </c>
      <c r="K203" s="2">
        <v>29.730699999999999</v>
      </c>
      <c r="L203" s="2">
        <v>7.0065999999999997</v>
      </c>
      <c r="M203" s="2">
        <v>4.1810809999999998</v>
      </c>
      <c r="N203" s="2">
        <v>109.6527</v>
      </c>
      <c r="O203" s="2">
        <v>8.3436000000000003</v>
      </c>
      <c r="P203" s="2">
        <v>0.79159999999999997</v>
      </c>
      <c r="Q203" s="2">
        <v>1680.7946999999999</v>
      </c>
      <c r="R203" s="2">
        <v>1.5093000000000001</v>
      </c>
      <c r="S203" s="2">
        <v>10.880784999999999</v>
      </c>
      <c r="T203" s="2">
        <v>243.54499999999999</v>
      </c>
      <c r="U203" s="2">
        <v>2.1555</v>
      </c>
    </row>
    <row r="204" spans="1:21" customFormat="1" x14ac:dyDescent="0.5">
      <c r="A204" s="1" t="s">
        <v>308</v>
      </c>
      <c r="B204" s="2">
        <v>10.137267</v>
      </c>
      <c r="C204" s="2">
        <v>7.7483000000000004</v>
      </c>
      <c r="D204" s="2">
        <v>2866.008382</v>
      </c>
      <c r="E204" s="5">
        <v>706.42744500000003</v>
      </c>
      <c r="F204" s="2">
        <v>50.364100000000001</v>
      </c>
      <c r="G204" s="2">
        <v>8.5749999999999993</v>
      </c>
      <c r="H204" s="2">
        <v>30.496600000000001</v>
      </c>
      <c r="I204" s="2">
        <v>5759.7388000000001</v>
      </c>
      <c r="J204" s="5">
        <v>3.5447679999999999</v>
      </c>
      <c r="K204" s="2">
        <v>30.105799999999999</v>
      </c>
      <c r="L204" s="2">
        <v>7.0466160000000002</v>
      </c>
      <c r="M204" s="2">
        <v>4.2049599999999998</v>
      </c>
      <c r="N204" s="2">
        <v>110.5132</v>
      </c>
      <c r="O204" s="2">
        <v>8.5099</v>
      </c>
      <c r="P204" s="2">
        <v>0.79610000000000003</v>
      </c>
      <c r="Q204" s="2">
        <v>1690.394</v>
      </c>
      <c r="R204" s="2">
        <v>1.5391999999999999</v>
      </c>
      <c r="S204" s="2">
        <v>10.910215000000001</v>
      </c>
      <c r="T204" s="2">
        <v>262.3261</v>
      </c>
      <c r="U204" s="2">
        <v>2.1749999999999998</v>
      </c>
    </row>
    <row r="205" spans="1:21" customFormat="1" x14ac:dyDescent="0.5">
      <c r="A205" s="1" t="s">
        <v>309</v>
      </c>
      <c r="B205" s="2">
        <v>10.002414</v>
      </c>
      <c r="C205" s="2">
        <v>7.5980999999999996</v>
      </c>
      <c r="D205" s="2">
        <v>3016.1452640000002</v>
      </c>
      <c r="E205" s="5">
        <v>714.87931100000003</v>
      </c>
      <c r="F205" s="2">
        <v>49.547499999999999</v>
      </c>
      <c r="G205" s="2">
        <v>8.4091000000000005</v>
      </c>
      <c r="H205" s="2">
        <v>30.0274</v>
      </c>
      <c r="I205" s="2">
        <v>5664.6513000000004</v>
      </c>
      <c r="J205" s="5">
        <v>3.4980329999999999</v>
      </c>
      <c r="K205" s="2">
        <v>30.496600000000001</v>
      </c>
      <c r="L205" s="2">
        <v>6.9099700000000004</v>
      </c>
      <c r="M205" s="2">
        <v>4.123418</v>
      </c>
      <c r="N205" s="2">
        <v>109.4577</v>
      </c>
      <c r="O205" s="2">
        <v>8.5548999999999999</v>
      </c>
      <c r="P205" s="2">
        <v>0.78069999999999995</v>
      </c>
      <c r="Q205" s="2">
        <v>1657.6142</v>
      </c>
      <c r="R205" s="2">
        <v>1.5181</v>
      </c>
      <c r="S205" s="2">
        <v>10.814907</v>
      </c>
      <c r="T205" s="2">
        <v>261.73840000000001</v>
      </c>
      <c r="U205" s="2">
        <v>2.1627000000000001</v>
      </c>
    </row>
    <row r="206" spans="1:21" customFormat="1" x14ac:dyDescent="0.5">
      <c r="A206" s="1" t="s">
        <v>310</v>
      </c>
      <c r="B206" s="2">
        <v>10.245974</v>
      </c>
      <c r="C206" s="2">
        <v>7.6970999999999998</v>
      </c>
      <c r="D206" s="2">
        <v>3366.4705260000001</v>
      </c>
      <c r="E206" s="5">
        <v>766.49537099999998</v>
      </c>
      <c r="F206" s="2">
        <v>50.285299999999999</v>
      </c>
      <c r="G206" s="2">
        <v>8.5190000000000001</v>
      </c>
      <c r="H206" s="2">
        <v>30.544899999999998</v>
      </c>
      <c r="I206" s="2">
        <v>5861.4458999999997</v>
      </c>
      <c r="J206" s="5">
        <v>3.607221</v>
      </c>
      <c r="K206" s="2">
        <v>31.752700000000001</v>
      </c>
      <c r="L206" s="2">
        <v>7</v>
      </c>
      <c r="M206" s="2">
        <v>4.1771430000000001</v>
      </c>
      <c r="N206" s="2">
        <v>115.2496</v>
      </c>
      <c r="O206" s="2">
        <v>8.7561999999999998</v>
      </c>
      <c r="P206" s="2">
        <v>0.79090000000000005</v>
      </c>
      <c r="Q206" s="2">
        <v>1679.2113999999999</v>
      </c>
      <c r="R206" s="2">
        <v>1.5454000000000001</v>
      </c>
      <c r="S206" s="2">
        <v>10.887943</v>
      </c>
      <c r="T206" s="2">
        <v>270.94319999999999</v>
      </c>
      <c r="U206" s="2">
        <v>2.1768999999999998</v>
      </c>
    </row>
    <row r="207" spans="1:21" customFormat="1" x14ac:dyDescent="0.5">
      <c r="A207" s="1" t="s">
        <v>311</v>
      </c>
      <c r="B207" s="2">
        <v>10.459927</v>
      </c>
      <c r="C207" s="2">
        <v>7.7538</v>
      </c>
      <c r="D207" s="2">
        <v>3444.3187560000001</v>
      </c>
      <c r="E207" s="5">
        <v>776.20174099999997</v>
      </c>
      <c r="F207" s="2">
        <v>50.751399999999997</v>
      </c>
      <c r="G207" s="2">
        <v>8.6266999999999996</v>
      </c>
      <c r="H207" s="2">
        <v>30.895800000000001</v>
      </c>
      <c r="I207" s="2">
        <v>6179.0532999999996</v>
      </c>
      <c r="J207" s="5">
        <v>3.6116649999999999</v>
      </c>
      <c r="K207" s="2">
        <v>32.365499999999997</v>
      </c>
      <c r="L207" s="2">
        <v>7.051615</v>
      </c>
      <c r="M207" s="2">
        <v>4.2079430000000002</v>
      </c>
      <c r="N207" s="2">
        <v>118.92959999999999</v>
      </c>
      <c r="O207" s="2">
        <v>8.7469000000000001</v>
      </c>
      <c r="P207" s="2">
        <v>0.79669999999999996</v>
      </c>
      <c r="Q207" s="2">
        <v>1691.5932</v>
      </c>
      <c r="R207" s="2">
        <v>1.5394000000000001</v>
      </c>
      <c r="S207" s="2">
        <v>10.910769999999999</v>
      </c>
      <c r="T207" s="2">
        <v>279.79489999999998</v>
      </c>
      <c r="U207" s="2">
        <v>2.1983000000000001</v>
      </c>
    </row>
    <row r="208" spans="1:21" customFormat="1" x14ac:dyDescent="0.5">
      <c r="A208" s="1" t="s">
        <v>312</v>
      </c>
      <c r="B208" s="2">
        <v>10.612078</v>
      </c>
      <c r="C208" s="2">
        <v>7.7633999999999999</v>
      </c>
      <c r="D208" s="2">
        <v>3302.3291469999999</v>
      </c>
      <c r="E208" s="5">
        <v>769.95682999999997</v>
      </c>
      <c r="F208" s="2">
        <v>50.933</v>
      </c>
      <c r="G208" s="2">
        <v>8.6268999999999991</v>
      </c>
      <c r="H208" s="2">
        <v>31.060500000000001</v>
      </c>
      <c r="I208" s="2">
        <v>6348.4974000000002</v>
      </c>
      <c r="J208" s="5">
        <v>3.6495790000000001</v>
      </c>
      <c r="K208" s="2">
        <v>32.962299999999999</v>
      </c>
      <c r="L208" s="2">
        <v>7.0603559999999996</v>
      </c>
      <c r="M208" s="2">
        <v>4.2131590000000001</v>
      </c>
      <c r="N208" s="2">
        <v>119.0658</v>
      </c>
      <c r="O208" s="2">
        <v>8.7208000000000006</v>
      </c>
      <c r="P208" s="2">
        <v>0.79769999999999996</v>
      </c>
      <c r="Q208" s="2">
        <v>1693.69</v>
      </c>
      <c r="R208" s="2">
        <v>1.5141</v>
      </c>
      <c r="S208" s="2">
        <v>10.91985</v>
      </c>
      <c r="T208" s="2">
        <v>279.03859999999997</v>
      </c>
      <c r="U208" s="2">
        <v>2.2115999999999998</v>
      </c>
    </row>
    <row r="209" spans="1:21" customFormat="1" x14ac:dyDescent="0.5">
      <c r="A209" s="1" t="s">
        <v>313</v>
      </c>
      <c r="B209" s="2">
        <v>10.288760999999999</v>
      </c>
      <c r="C209" s="2">
        <v>7.4185999999999996</v>
      </c>
      <c r="D209" s="2">
        <v>3204.2059330000002</v>
      </c>
      <c r="E209" s="5">
        <v>755.816956</v>
      </c>
      <c r="F209" s="2">
        <v>48.777200000000001</v>
      </c>
      <c r="G209" s="2">
        <v>8.2034000000000002</v>
      </c>
      <c r="H209" s="2">
        <v>29.802</v>
      </c>
      <c r="I209" s="2">
        <v>6053.7055</v>
      </c>
      <c r="J209" s="5">
        <v>3.58222</v>
      </c>
      <c r="K209" s="2">
        <v>31.703700000000001</v>
      </c>
      <c r="L209" s="2">
        <v>6.7467170000000003</v>
      </c>
      <c r="M209" s="2">
        <v>4.0259999999999998</v>
      </c>
      <c r="N209" s="2">
        <v>115.7163</v>
      </c>
      <c r="O209" s="2">
        <v>8.3355999999999995</v>
      </c>
      <c r="P209" s="2">
        <v>0.76229999999999998</v>
      </c>
      <c r="Q209" s="2">
        <v>1618.452</v>
      </c>
      <c r="R209" s="2">
        <v>1.4787999999999999</v>
      </c>
      <c r="S209" s="2">
        <v>10.726456000000001</v>
      </c>
      <c r="T209" s="2">
        <v>301.6284</v>
      </c>
      <c r="U209" s="2">
        <v>2.1831999999999998</v>
      </c>
    </row>
    <row r="210" spans="1:21" customFormat="1" x14ac:dyDescent="0.5">
      <c r="A210" s="1" t="s">
        <v>314</v>
      </c>
      <c r="B210" s="2">
        <v>12.463891</v>
      </c>
      <c r="C210" s="2">
        <v>7.5160999999999998</v>
      </c>
      <c r="D210" s="2">
        <v>3531.2098369999999</v>
      </c>
      <c r="E210" s="5">
        <v>766.01247699999999</v>
      </c>
      <c r="F210" s="2">
        <v>49.521299999999997</v>
      </c>
      <c r="G210" s="2">
        <v>8.282</v>
      </c>
      <c r="H210" s="2">
        <v>30.317299999999999</v>
      </c>
      <c r="I210" s="2">
        <v>6311.4614000000001</v>
      </c>
      <c r="J210" s="5">
        <v>3.6793879999999999</v>
      </c>
      <c r="K210" s="2">
        <v>32.392099999999999</v>
      </c>
      <c r="L210" s="2">
        <v>6.835439</v>
      </c>
      <c r="M210" s="2">
        <v>4.0789429999999998</v>
      </c>
      <c r="N210" s="2">
        <v>116.68380000000001</v>
      </c>
      <c r="O210" s="2">
        <v>8.5004000000000008</v>
      </c>
      <c r="P210" s="2">
        <v>0.77229999999999999</v>
      </c>
      <c r="Q210" s="2">
        <v>1639.7352000000001</v>
      </c>
      <c r="R210" s="2">
        <v>1.5183</v>
      </c>
      <c r="S210" s="2">
        <v>10.773496</v>
      </c>
      <c r="T210" s="2">
        <v>333.59949999999998</v>
      </c>
      <c r="U210" s="2">
        <v>2.2063999999999999</v>
      </c>
    </row>
    <row r="211" spans="1:21" customFormat="1" x14ac:dyDescent="0.5">
      <c r="A211" s="1" t="s">
        <v>315</v>
      </c>
      <c r="B211" s="2">
        <v>14.760436</v>
      </c>
      <c r="C211" s="2">
        <v>7.5039999999999996</v>
      </c>
      <c r="D211" s="2">
        <v>3564.8790159999999</v>
      </c>
      <c r="E211" s="5">
        <v>784.01026000000002</v>
      </c>
      <c r="F211" s="2">
        <v>49.536700000000003</v>
      </c>
      <c r="G211" s="2">
        <v>8.3071000000000002</v>
      </c>
      <c r="H211" s="2">
        <v>30.393899999999999</v>
      </c>
      <c r="I211" s="2">
        <v>6415.0533999999998</v>
      </c>
      <c r="J211" s="5">
        <v>3.732815</v>
      </c>
      <c r="K211" s="2">
        <v>33.466799999999999</v>
      </c>
      <c r="L211" s="2">
        <v>6.8244210000000001</v>
      </c>
      <c r="M211" s="2">
        <v>4.0723690000000001</v>
      </c>
      <c r="N211" s="2">
        <v>116.6773</v>
      </c>
      <c r="O211" s="2">
        <v>8.5259999999999998</v>
      </c>
      <c r="P211" s="2">
        <v>0.77100000000000002</v>
      </c>
      <c r="Q211" s="2">
        <v>1637.0922</v>
      </c>
      <c r="R211" s="2">
        <v>1.5270999999999999</v>
      </c>
      <c r="S211" s="2">
        <v>10.775613</v>
      </c>
      <c r="T211" s="2">
        <v>364.8372</v>
      </c>
      <c r="U211" s="2">
        <v>2.2202999999999999</v>
      </c>
    </row>
    <row r="212" spans="1:21" customFormat="1" x14ac:dyDescent="0.5">
      <c r="A212" s="1" t="s">
        <v>316</v>
      </c>
      <c r="B212" s="2">
        <v>16.394216</v>
      </c>
      <c r="C212" s="2">
        <v>7.6651999999999996</v>
      </c>
      <c r="D212" s="2">
        <v>3721.5607279999999</v>
      </c>
      <c r="E212" s="5">
        <v>781.03787399999999</v>
      </c>
      <c r="F212" s="2">
        <v>50.765999999999998</v>
      </c>
      <c r="G212" s="2">
        <v>8.5004000000000008</v>
      </c>
      <c r="H212" s="2">
        <v>31.1692</v>
      </c>
      <c r="I212" s="2">
        <v>6425.0487999999996</v>
      </c>
      <c r="J212" s="5">
        <v>3.8890829999999998</v>
      </c>
      <c r="K212" s="2">
        <v>35.2226</v>
      </c>
      <c r="L212" s="2">
        <v>6.9710330000000003</v>
      </c>
      <c r="M212" s="2">
        <v>4.1598569999999997</v>
      </c>
      <c r="N212" s="2">
        <v>118.194</v>
      </c>
      <c r="O212" s="2">
        <v>8.5006000000000004</v>
      </c>
      <c r="P212" s="2">
        <v>0.78759999999999997</v>
      </c>
      <c r="Q212" s="2">
        <v>1672.2626</v>
      </c>
      <c r="R212" s="2">
        <v>1.5104</v>
      </c>
      <c r="S212" s="2">
        <v>10.863576999999999</v>
      </c>
      <c r="T212" s="2">
        <v>402.97579999999999</v>
      </c>
      <c r="U212" s="2">
        <v>2.2440000000000002</v>
      </c>
    </row>
    <row r="213" spans="1:21" customFormat="1" x14ac:dyDescent="0.5">
      <c r="A213" s="1" t="s">
        <v>317</v>
      </c>
      <c r="B213" s="2">
        <v>16.591359000000001</v>
      </c>
      <c r="C213" s="2">
        <v>7.6699000000000002</v>
      </c>
      <c r="D213" s="2">
        <v>3494.9976750000001</v>
      </c>
      <c r="E213" s="5">
        <v>757.07244200000002</v>
      </c>
      <c r="F213" s="2">
        <v>50.846899999999998</v>
      </c>
      <c r="G213" s="2">
        <v>8.5648</v>
      </c>
      <c r="H213" s="2">
        <v>31.315100000000001</v>
      </c>
      <c r="I213" s="2">
        <v>6320.8573999999999</v>
      </c>
      <c r="J213" s="5">
        <v>3.782079</v>
      </c>
      <c r="K213" s="2">
        <v>35.700000000000003</v>
      </c>
      <c r="L213" s="2">
        <v>9.7063629999999996</v>
      </c>
      <c r="M213" s="2">
        <v>4.1623749999999999</v>
      </c>
      <c r="N213" s="2">
        <v>121.5883</v>
      </c>
      <c r="O213" s="2">
        <v>9.6226000000000003</v>
      </c>
      <c r="P213" s="2">
        <v>0.78810000000000002</v>
      </c>
      <c r="Q213" s="2">
        <v>1673.2747999999999</v>
      </c>
      <c r="R213" s="2">
        <v>1.5769</v>
      </c>
      <c r="S213" s="2">
        <v>10.855349</v>
      </c>
      <c r="T213" s="2">
        <v>478.40910000000002</v>
      </c>
      <c r="U213" s="2">
        <v>2.2517</v>
      </c>
    </row>
    <row r="214" spans="1:21" customFormat="1" x14ac:dyDescent="0.5">
      <c r="A214" s="1" t="s">
        <v>318</v>
      </c>
      <c r="B214" s="2">
        <v>16.317634999999999</v>
      </c>
      <c r="C214" s="2">
        <v>7.8353999999999999</v>
      </c>
      <c r="D214" s="2">
        <v>3400.2976269999999</v>
      </c>
      <c r="E214" s="5">
        <v>759.64908700000001</v>
      </c>
      <c r="F214" s="2">
        <v>51.994199999999999</v>
      </c>
      <c r="G214" s="2">
        <v>8.7657000000000007</v>
      </c>
      <c r="H214" s="2">
        <v>32.121200000000002</v>
      </c>
      <c r="I214" s="2">
        <v>6313.0989</v>
      </c>
      <c r="J214" s="5">
        <v>3.7436880000000001</v>
      </c>
      <c r="K214" s="2">
        <v>35.762700000000002</v>
      </c>
      <c r="L214" s="2">
        <v>11.310843</v>
      </c>
      <c r="M214" s="2">
        <v>4.2521959999999996</v>
      </c>
      <c r="N214" s="2">
        <v>123.33369999999999</v>
      </c>
      <c r="O214" s="2">
        <v>10.0999</v>
      </c>
      <c r="P214" s="2">
        <v>0.80510000000000004</v>
      </c>
      <c r="Q214" s="2">
        <v>1709.383</v>
      </c>
      <c r="R214" s="2">
        <v>1.5641</v>
      </c>
      <c r="S214" s="2">
        <v>10.947704999999999</v>
      </c>
      <c r="T214" s="2">
        <v>518.10670000000005</v>
      </c>
      <c r="U214" s="2">
        <v>2.2795999999999998</v>
      </c>
    </row>
    <row r="215" spans="1:21" customFormat="1" x14ac:dyDescent="0.5">
      <c r="A215" s="1" t="s">
        <v>319</v>
      </c>
      <c r="B215" s="2">
        <v>15.975569</v>
      </c>
      <c r="C215" s="2">
        <v>7.8159999999999998</v>
      </c>
      <c r="D215" s="2">
        <v>3379.1749439999999</v>
      </c>
      <c r="E215" s="5">
        <v>771.74611800000002</v>
      </c>
      <c r="F215" s="2">
        <v>51.918999999999997</v>
      </c>
      <c r="G215" s="2">
        <v>8.6466999999999992</v>
      </c>
      <c r="H215" s="2">
        <v>32.1721</v>
      </c>
      <c r="I215" s="2">
        <v>6356.1583000000001</v>
      </c>
      <c r="J215" s="5">
        <v>3.7708089999999999</v>
      </c>
      <c r="K215" s="2">
        <v>35.530099999999997</v>
      </c>
      <c r="L215" s="2">
        <v>11.282813000000001</v>
      </c>
      <c r="M215" s="2">
        <v>4.2416590000000003</v>
      </c>
      <c r="N215" s="2">
        <v>124.1811</v>
      </c>
      <c r="O215" s="2">
        <v>9.8794000000000004</v>
      </c>
      <c r="P215" s="2">
        <v>0.80310000000000004</v>
      </c>
      <c r="Q215" s="2">
        <v>1705.1469999999999</v>
      </c>
      <c r="R215" s="2">
        <v>1.5273000000000001</v>
      </c>
      <c r="S215" s="2">
        <v>10.943707</v>
      </c>
      <c r="T215" s="2">
        <v>594.95439999999996</v>
      </c>
      <c r="U215" s="2">
        <v>2.319</v>
      </c>
    </row>
    <row r="216" spans="1:21" customFormat="1" x14ac:dyDescent="0.5">
      <c r="A216" s="1" t="s">
        <v>320</v>
      </c>
      <c r="B216" s="2">
        <v>15.9254</v>
      </c>
      <c r="C216" s="2">
        <v>7.7591999999999999</v>
      </c>
      <c r="D216" s="2">
        <v>3359.3318789999998</v>
      </c>
      <c r="E216" s="5">
        <v>764.76945000000001</v>
      </c>
      <c r="F216" s="2">
        <v>51.601500000000001</v>
      </c>
      <c r="G216" s="2">
        <v>8.5799000000000003</v>
      </c>
      <c r="H216" s="2">
        <v>32.0685</v>
      </c>
      <c r="I216" s="2">
        <v>6331.9992000000002</v>
      </c>
      <c r="J216" s="5">
        <v>3.724148</v>
      </c>
      <c r="K216" s="2">
        <v>34.559800000000003</v>
      </c>
      <c r="L216" s="2">
        <v>11.200837</v>
      </c>
      <c r="M216" s="2">
        <v>4.2108410000000003</v>
      </c>
      <c r="N216" s="2">
        <v>123.68089999999999</v>
      </c>
      <c r="O216" s="2">
        <v>9.8333999999999993</v>
      </c>
      <c r="P216" s="2">
        <v>0.79730000000000001</v>
      </c>
      <c r="Q216" s="2">
        <v>1692.758</v>
      </c>
      <c r="R216" s="2">
        <v>1.524</v>
      </c>
      <c r="S216" s="2">
        <v>10.909248</v>
      </c>
      <c r="T216" s="2">
        <v>520.50620000000004</v>
      </c>
      <c r="U216" s="2">
        <v>2.4268999999999998</v>
      </c>
    </row>
    <row r="217" spans="1:21" customFormat="1" x14ac:dyDescent="0.5">
      <c r="A217" s="1" t="s">
        <v>321</v>
      </c>
      <c r="B217" s="2">
        <v>16.467196000000001</v>
      </c>
      <c r="C217" s="2">
        <v>7.6482999999999999</v>
      </c>
      <c r="D217" s="2">
        <v>3278.875849</v>
      </c>
      <c r="E217" s="5">
        <v>727.71504000000004</v>
      </c>
      <c r="F217" s="2">
        <v>50.909100000000002</v>
      </c>
      <c r="G217" s="2">
        <v>8.4067000000000007</v>
      </c>
      <c r="H217" s="2">
        <v>31.7393</v>
      </c>
      <c r="I217" s="2">
        <v>6154.0704999999998</v>
      </c>
      <c r="J217" s="5">
        <v>3.6512150000000001</v>
      </c>
      <c r="K217" s="2">
        <v>33.3123</v>
      </c>
      <c r="L217" s="2">
        <v>11.040853</v>
      </c>
      <c r="M217" s="2">
        <v>4.1506959999999999</v>
      </c>
      <c r="N217" s="2">
        <v>122.42740000000001</v>
      </c>
      <c r="O217" s="2">
        <v>9.8431999999999995</v>
      </c>
      <c r="P217" s="2">
        <v>0.78590000000000004</v>
      </c>
      <c r="Q217" s="2">
        <v>1668.58</v>
      </c>
      <c r="R217" s="2">
        <v>1.5447</v>
      </c>
      <c r="S217" s="2">
        <v>10.852134</v>
      </c>
      <c r="T217" s="2">
        <v>520.64409999999998</v>
      </c>
      <c r="U217" s="2">
        <v>2.4561999999999999</v>
      </c>
    </row>
    <row r="218" spans="1:21" customFormat="1" x14ac:dyDescent="0.5">
      <c r="A218" s="1" t="s">
        <v>322</v>
      </c>
      <c r="B218" s="2">
        <v>16.636692</v>
      </c>
      <c r="C218" s="2">
        <v>7.7473000000000001</v>
      </c>
      <c r="D218" s="2">
        <v>3322.9576670000001</v>
      </c>
      <c r="E218" s="5">
        <v>738.62136599999997</v>
      </c>
      <c r="F218" s="2">
        <v>51.580800000000004</v>
      </c>
      <c r="G218" s="2">
        <v>8.4474</v>
      </c>
      <c r="H218" s="2">
        <v>32.283099999999997</v>
      </c>
      <c r="I218" s="2">
        <v>6186.0767999999998</v>
      </c>
      <c r="J218" s="5">
        <v>3.7369240000000001</v>
      </c>
      <c r="K218" s="2">
        <v>32.392299999999999</v>
      </c>
      <c r="L218" s="2">
        <v>11.18371</v>
      </c>
      <c r="M218" s="2">
        <v>4.204402</v>
      </c>
      <c r="N218" s="2">
        <v>122.73520000000001</v>
      </c>
      <c r="O218" s="2">
        <v>9.8607999999999993</v>
      </c>
      <c r="P218" s="2">
        <v>0.79600000000000004</v>
      </c>
      <c r="Q218" s="2">
        <v>1690.1696999999999</v>
      </c>
      <c r="R218" s="2">
        <v>1.5373000000000001</v>
      </c>
      <c r="S218" s="2">
        <v>10.903560000000001</v>
      </c>
      <c r="T218" s="2">
        <v>533.80169999999998</v>
      </c>
      <c r="U218" s="2">
        <v>2.4693000000000001</v>
      </c>
    </row>
    <row r="219" spans="1:21" customFormat="1" x14ac:dyDescent="0.5">
      <c r="A219" s="1" t="s">
        <v>323</v>
      </c>
      <c r="B219" s="2">
        <v>16.945546</v>
      </c>
      <c r="C219" s="2">
        <v>7.7476000000000003</v>
      </c>
      <c r="D219" s="2">
        <v>3273.270634</v>
      </c>
      <c r="E219" s="5">
        <v>749.67670399999997</v>
      </c>
      <c r="F219" s="2">
        <v>51.7714</v>
      </c>
      <c r="G219" s="2">
        <v>8.4339999999999993</v>
      </c>
      <c r="H219" s="2">
        <v>32.415599999999998</v>
      </c>
      <c r="I219" s="2">
        <v>6231.6958999999997</v>
      </c>
      <c r="J219" s="5">
        <v>3.7922600000000002</v>
      </c>
      <c r="K219" s="2">
        <v>32.2712</v>
      </c>
      <c r="L219" s="2">
        <v>11.184061</v>
      </c>
      <c r="M219" s="2">
        <v>4.2045339999999998</v>
      </c>
      <c r="N219" s="2">
        <v>122.5663</v>
      </c>
      <c r="O219" s="2">
        <v>9.8856000000000002</v>
      </c>
      <c r="P219" s="2">
        <v>0.79610000000000003</v>
      </c>
      <c r="Q219" s="2">
        <v>1690.2227</v>
      </c>
      <c r="R219" s="2">
        <v>1.5416000000000001</v>
      </c>
      <c r="S219" s="2">
        <v>10.908860000000001</v>
      </c>
      <c r="T219" s="2">
        <v>556.45399999999995</v>
      </c>
      <c r="U219" s="2">
        <v>2.4710999999999999</v>
      </c>
    </row>
    <row r="220" spans="1:21" customFormat="1" x14ac:dyDescent="0.5">
      <c r="A220" s="1" t="s">
        <v>324</v>
      </c>
      <c r="B220" s="2">
        <v>16.737539999999999</v>
      </c>
      <c r="C220" s="2">
        <v>7.6189999999999998</v>
      </c>
      <c r="D220" s="2">
        <v>3233.6007159999999</v>
      </c>
      <c r="E220" s="5">
        <v>732.04367500000001</v>
      </c>
      <c r="F220" s="2">
        <v>51.201799999999999</v>
      </c>
      <c r="G220" s="2">
        <v>8.2649000000000008</v>
      </c>
      <c r="H220" s="2">
        <v>32.007599999999996</v>
      </c>
      <c r="I220" s="2">
        <v>6210.4674000000005</v>
      </c>
      <c r="J220" s="5">
        <v>3.7333669999999999</v>
      </c>
      <c r="K220" s="2">
        <v>31.039400000000001</v>
      </c>
      <c r="L220" s="2">
        <v>10.998483</v>
      </c>
      <c r="M220" s="2">
        <v>4.1347680000000002</v>
      </c>
      <c r="N220" s="2">
        <v>121.4764</v>
      </c>
      <c r="O220" s="2">
        <v>9.6960999999999995</v>
      </c>
      <c r="P220" s="2">
        <v>0.78280000000000005</v>
      </c>
      <c r="Q220" s="2">
        <v>1662.1767</v>
      </c>
      <c r="R220" s="2">
        <v>1.5324</v>
      </c>
      <c r="S220" s="2">
        <v>10.842337000000001</v>
      </c>
      <c r="T220" s="2">
        <v>545.73469999999998</v>
      </c>
      <c r="U220" s="2">
        <v>2.4674999999999998</v>
      </c>
    </row>
    <row r="221" spans="1:21" customFormat="1" x14ac:dyDescent="0.5">
      <c r="A221" s="1" t="s">
        <v>325</v>
      </c>
      <c r="B221" s="2">
        <v>16.566110999999999</v>
      </c>
      <c r="C221" s="2">
        <v>7.4621000000000004</v>
      </c>
      <c r="D221" s="2">
        <v>3344.954573</v>
      </c>
      <c r="E221" s="5">
        <v>719.33738900000003</v>
      </c>
      <c r="F221" s="2">
        <v>50.311599999999999</v>
      </c>
      <c r="G221" s="2">
        <v>8.1036999999999999</v>
      </c>
      <c r="H221" s="2">
        <v>31.476099999999999</v>
      </c>
      <c r="I221" s="2">
        <v>6233.9775</v>
      </c>
      <c r="J221" s="5">
        <v>3.6747709999999998</v>
      </c>
      <c r="K221" s="2">
        <v>31.027200000000001</v>
      </c>
      <c r="L221" s="2">
        <v>10.771957</v>
      </c>
      <c r="M221" s="2">
        <v>4.0496080000000001</v>
      </c>
      <c r="N221" s="2">
        <v>119.45529999999999</v>
      </c>
      <c r="O221" s="2">
        <v>16.816600000000001</v>
      </c>
      <c r="P221" s="2">
        <v>0.76670000000000005</v>
      </c>
      <c r="Q221" s="2">
        <v>1627.9423999999999</v>
      </c>
      <c r="R221" s="2">
        <v>1.5031000000000001</v>
      </c>
      <c r="S221" s="2">
        <v>10.745834</v>
      </c>
      <c r="T221" s="2">
        <v>530.21860000000004</v>
      </c>
      <c r="U221" s="2">
        <v>2.4557000000000002</v>
      </c>
    </row>
    <row r="222" spans="1:21" customFormat="1" x14ac:dyDescent="0.5">
      <c r="A222" s="1" t="s">
        <v>326</v>
      </c>
      <c r="B222" s="2">
        <v>16.586625000000002</v>
      </c>
      <c r="C222" s="2">
        <v>7.2850999999999999</v>
      </c>
      <c r="D222" s="2">
        <v>3172.9077470000002</v>
      </c>
      <c r="E222" s="5">
        <v>703.38896899999997</v>
      </c>
      <c r="F222" s="2">
        <v>49.208100000000002</v>
      </c>
      <c r="G222" s="2">
        <v>7.9104000000000001</v>
      </c>
      <c r="H222" s="2">
        <v>30.855</v>
      </c>
      <c r="I222" s="2">
        <v>6100.0122000000001</v>
      </c>
      <c r="J222" s="5">
        <v>3.5796929999999998</v>
      </c>
      <c r="K222" s="2">
        <v>30.402699999999999</v>
      </c>
      <c r="L222" s="2">
        <v>10.516548</v>
      </c>
      <c r="M222" s="2">
        <v>3.953589</v>
      </c>
      <c r="N222" s="2">
        <v>116.92100000000001</v>
      </c>
      <c r="O222" s="2">
        <v>19.4192</v>
      </c>
      <c r="P222" s="2">
        <v>0.74850000000000005</v>
      </c>
      <c r="Q222" s="2">
        <v>1589.3429000000001</v>
      </c>
      <c r="R222" s="2">
        <v>1.5121</v>
      </c>
      <c r="S222" s="2">
        <v>10.653964</v>
      </c>
      <c r="T222" s="2">
        <v>525.54259999999999</v>
      </c>
      <c r="U222" s="2">
        <v>2.4470999999999998</v>
      </c>
    </row>
    <row r="223" spans="1:21" customFormat="1" x14ac:dyDescent="0.5">
      <c r="A223" s="1" t="s">
        <v>327</v>
      </c>
      <c r="B223" s="2">
        <v>16.886559999999999</v>
      </c>
      <c r="C223" s="2">
        <v>7.3346</v>
      </c>
      <c r="D223" s="2">
        <v>3123.9130030000001</v>
      </c>
      <c r="E223" s="5">
        <v>701.81866400000001</v>
      </c>
      <c r="F223" s="2">
        <v>49.657200000000003</v>
      </c>
      <c r="G223" s="2">
        <v>7.9786999999999999</v>
      </c>
      <c r="H223" s="2">
        <v>31.193100000000001</v>
      </c>
      <c r="I223" s="2">
        <v>6108.0389999999998</v>
      </c>
      <c r="J223" s="5">
        <v>3.5452129999999999</v>
      </c>
      <c r="K223" s="2">
        <v>30.3688</v>
      </c>
      <c r="L223" s="2">
        <v>10.587873</v>
      </c>
      <c r="M223" s="2">
        <v>3.9804029999999999</v>
      </c>
      <c r="N223" s="2">
        <v>116.80889999999999</v>
      </c>
      <c r="O223" s="2">
        <v>20.003299999999999</v>
      </c>
      <c r="P223" s="2">
        <v>0.75360000000000005</v>
      </c>
      <c r="Q223" s="2">
        <v>1600.1222</v>
      </c>
      <c r="R223" s="2">
        <v>1.5378000000000001</v>
      </c>
      <c r="S223" s="2">
        <v>10.671799</v>
      </c>
      <c r="T223" s="2">
        <v>536.20129999999995</v>
      </c>
      <c r="U223" s="2">
        <v>2.4645999999999999</v>
      </c>
    </row>
    <row r="224" spans="1:21" customFormat="1" x14ac:dyDescent="0.5">
      <c r="A224" s="1" t="s">
        <v>328</v>
      </c>
      <c r="B224" s="2">
        <v>16.596620999999999</v>
      </c>
      <c r="C224" s="2">
        <v>7.3540999999999999</v>
      </c>
      <c r="D224" s="2">
        <v>3065.6903910000001</v>
      </c>
      <c r="E224" s="5">
        <v>684.54535899999996</v>
      </c>
      <c r="F224" s="2">
        <v>50.157200000000003</v>
      </c>
      <c r="G224" s="2">
        <v>7.8780000000000001</v>
      </c>
      <c r="H224" s="2">
        <v>31.399699999999999</v>
      </c>
      <c r="I224" s="2">
        <v>6041.5630000000001</v>
      </c>
      <c r="J224" s="5">
        <v>3.4693179999999999</v>
      </c>
      <c r="K224" s="2">
        <v>30.290900000000001</v>
      </c>
      <c r="L224" s="2">
        <v>10.616042999999999</v>
      </c>
      <c r="M224" s="2">
        <v>3.9909940000000002</v>
      </c>
      <c r="N224" s="2">
        <v>116.9903</v>
      </c>
      <c r="O224" s="2">
        <v>17.9132</v>
      </c>
      <c r="P224" s="2">
        <v>0.75560000000000005</v>
      </c>
      <c r="Q224" s="2">
        <v>1604.3795</v>
      </c>
      <c r="R224" s="2">
        <v>1.5108999999999999</v>
      </c>
      <c r="S224" s="2">
        <v>10.686210000000001</v>
      </c>
      <c r="T224" s="2">
        <v>528.32399999999996</v>
      </c>
      <c r="U224" s="2">
        <v>2.4373999999999998</v>
      </c>
    </row>
    <row r="225" spans="1:21" customFormat="1" x14ac:dyDescent="0.5">
      <c r="A225" s="1" t="s">
        <v>329</v>
      </c>
      <c r="B225" s="2">
        <v>16.578277</v>
      </c>
      <c r="C225" s="2">
        <v>7.3830999999999998</v>
      </c>
      <c r="D225" s="2">
        <v>3144.7426810000002</v>
      </c>
      <c r="E225" s="5">
        <v>706.47486400000003</v>
      </c>
      <c r="F225" s="2">
        <v>50.557000000000002</v>
      </c>
      <c r="G225" s="2">
        <v>7.8589000000000002</v>
      </c>
      <c r="H225" s="2">
        <v>31.651599999999998</v>
      </c>
      <c r="I225" s="2">
        <v>5907.0802000000003</v>
      </c>
      <c r="J225" s="5">
        <v>3.487206</v>
      </c>
      <c r="K225" s="2">
        <v>30.361599999999999</v>
      </c>
      <c r="L225" s="2">
        <v>10.657984000000001</v>
      </c>
      <c r="M225" s="2">
        <v>4.006761</v>
      </c>
      <c r="N225" s="2">
        <v>117.4004</v>
      </c>
      <c r="O225" s="2">
        <v>18.866700000000002</v>
      </c>
      <c r="P225" s="2">
        <v>0.75860000000000005</v>
      </c>
      <c r="Q225" s="2">
        <v>1610.7179000000001</v>
      </c>
      <c r="R225" s="2">
        <v>1.5248999999999999</v>
      </c>
      <c r="S225" s="2">
        <v>10.700068</v>
      </c>
      <c r="T225" s="2">
        <v>533.01049999999998</v>
      </c>
      <c r="U225" s="2">
        <v>2.4592000000000001</v>
      </c>
    </row>
    <row r="226" spans="1:21" customFormat="1" x14ac:dyDescent="0.5">
      <c r="A226" s="1" t="s">
        <v>330</v>
      </c>
      <c r="B226" s="2">
        <v>16.462271999999999</v>
      </c>
      <c r="C226" s="2">
        <v>7.4093999999999998</v>
      </c>
      <c r="D226" s="2">
        <v>3081.1514940000002</v>
      </c>
      <c r="E226" s="5">
        <v>703.13171799999998</v>
      </c>
      <c r="F226" s="2">
        <v>50.820999999999998</v>
      </c>
      <c r="G226" s="2">
        <v>7.8659999999999997</v>
      </c>
      <c r="H226" s="2">
        <v>31.890499999999999</v>
      </c>
      <c r="I226" s="2">
        <v>5972.0213999999996</v>
      </c>
      <c r="J226" s="5">
        <v>3.482037</v>
      </c>
      <c r="K226" s="2">
        <v>30.4559</v>
      </c>
      <c r="L226" s="2">
        <v>10.69586</v>
      </c>
      <c r="M226" s="2">
        <v>4.0209999999999999</v>
      </c>
      <c r="N226" s="2">
        <v>117.8934</v>
      </c>
      <c r="O226" s="2">
        <v>19.702200000000001</v>
      </c>
      <c r="P226" s="2">
        <v>0.76129999999999998</v>
      </c>
      <c r="Q226" s="2">
        <v>1616.442</v>
      </c>
      <c r="R226" s="2">
        <v>1.5526</v>
      </c>
      <c r="S226" s="2">
        <v>10.722977999999999</v>
      </c>
      <c r="T226" s="2">
        <v>544.92610000000002</v>
      </c>
      <c r="U226" s="2">
        <v>2.5396000000000001</v>
      </c>
    </row>
    <row r="227" spans="1:21" customFormat="1" x14ac:dyDescent="0.5">
      <c r="A227" s="1" t="s">
        <v>331</v>
      </c>
      <c r="B227" s="2">
        <v>17.396080000000001</v>
      </c>
      <c r="C227" s="2">
        <v>7.6406999999999998</v>
      </c>
      <c r="D227" s="2">
        <v>3234.4067070000001</v>
      </c>
      <c r="E227" s="5">
        <v>742.38899000000004</v>
      </c>
      <c r="F227" s="2">
        <v>52.457000000000001</v>
      </c>
      <c r="G227" s="2">
        <v>8.1137999999999995</v>
      </c>
      <c r="H227" s="2">
        <v>33.020699999999998</v>
      </c>
      <c r="I227" s="2">
        <v>6182.2363999999998</v>
      </c>
      <c r="J227" s="5">
        <v>3.6189689999999999</v>
      </c>
      <c r="K227" s="2">
        <v>31.106000000000002</v>
      </c>
      <c r="L227" s="2">
        <v>11.029856000000001</v>
      </c>
      <c r="M227" s="2">
        <v>4.1465630000000004</v>
      </c>
      <c r="N227" s="2">
        <v>120.4571</v>
      </c>
      <c r="O227" s="2">
        <v>20.232700000000001</v>
      </c>
      <c r="P227" s="2">
        <v>0.78510000000000002</v>
      </c>
      <c r="Q227" s="2">
        <v>1666.9181000000001</v>
      </c>
      <c r="R227" s="2">
        <v>1.5770999999999999</v>
      </c>
      <c r="S227" s="2">
        <v>10.854739</v>
      </c>
      <c r="T227" s="2">
        <v>559.43420000000003</v>
      </c>
      <c r="U227" s="2">
        <v>2.7130000000000001</v>
      </c>
    </row>
    <row r="228" spans="1:21" customFormat="1" x14ac:dyDescent="0.5">
      <c r="A228" s="1" t="s">
        <v>332</v>
      </c>
      <c r="B228" s="2">
        <v>18.098137999999999</v>
      </c>
      <c r="C228" s="2">
        <v>7.7595999999999998</v>
      </c>
      <c r="D228" s="2">
        <v>3322.080845</v>
      </c>
      <c r="E228" s="5">
        <v>746.93091200000003</v>
      </c>
      <c r="F228" s="2">
        <v>53.345100000000002</v>
      </c>
      <c r="G228" s="2">
        <v>8.2421000000000006</v>
      </c>
      <c r="H228" s="2">
        <v>33.671199999999999</v>
      </c>
      <c r="I228" s="2">
        <v>6257.1547</v>
      </c>
      <c r="J228" s="5">
        <v>3.6695609999999999</v>
      </c>
      <c r="K228" s="2">
        <v>31.8674</v>
      </c>
      <c r="L228" s="2">
        <v>11.201381</v>
      </c>
      <c r="M228" s="2">
        <v>4.2110450000000004</v>
      </c>
      <c r="N228" s="2">
        <v>121.7282</v>
      </c>
      <c r="O228" s="2">
        <v>20.5871</v>
      </c>
      <c r="P228" s="2">
        <v>0.79730000000000001</v>
      </c>
      <c r="Q228" s="2">
        <v>1692.8403000000001</v>
      </c>
      <c r="R228" s="2">
        <v>1.5941000000000001</v>
      </c>
      <c r="S228" s="2">
        <v>10.914479999999999</v>
      </c>
      <c r="T228" s="2">
        <v>568.95669999999996</v>
      </c>
      <c r="U228" s="2">
        <v>2.7528000000000001</v>
      </c>
    </row>
    <row r="229" spans="1:21" customFormat="1" x14ac:dyDescent="0.5">
      <c r="A229" s="1" t="s">
        <v>333</v>
      </c>
      <c r="B229" s="2">
        <v>19.795877000000001</v>
      </c>
      <c r="C229" s="2">
        <v>7.9542000000000002</v>
      </c>
      <c r="D229" s="2">
        <v>3497.210544</v>
      </c>
      <c r="E229" s="5">
        <v>757.63053400000001</v>
      </c>
      <c r="F229" s="2">
        <v>54.7211</v>
      </c>
      <c r="G229" s="2">
        <v>8.4024000000000001</v>
      </c>
      <c r="H229" s="2">
        <v>34.656799999999997</v>
      </c>
      <c r="I229" s="2">
        <v>6389.8253000000004</v>
      </c>
      <c r="J229" s="5">
        <v>3.7398790000000002</v>
      </c>
      <c r="K229" s="2">
        <v>32.969499999999996</v>
      </c>
      <c r="L229" s="2">
        <v>11.482365</v>
      </c>
      <c r="M229" s="2">
        <v>4.3166789999999997</v>
      </c>
      <c r="N229" s="2">
        <v>125.1504</v>
      </c>
      <c r="O229" s="2">
        <v>20.946300000000001</v>
      </c>
      <c r="P229" s="2">
        <v>0.81730000000000003</v>
      </c>
      <c r="Q229" s="2">
        <v>1735.3047999999999</v>
      </c>
      <c r="R229" s="2">
        <v>1.6235999999999999</v>
      </c>
      <c r="S229" s="2">
        <v>11.012952</v>
      </c>
      <c r="T229" s="2">
        <v>584.64959999999996</v>
      </c>
      <c r="U229" s="2">
        <v>2.8433000000000002</v>
      </c>
    </row>
    <row r="230" spans="1:21" customFormat="1" x14ac:dyDescent="0.5">
      <c r="A230" s="1" t="s">
        <v>334</v>
      </c>
      <c r="B230" s="2">
        <v>20.565998</v>
      </c>
      <c r="C230" s="2">
        <v>8.1585000000000001</v>
      </c>
      <c r="D230" s="2">
        <v>3511.3714439999999</v>
      </c>
      <c r="E230" s="5">
        <v>760.63950799999998</v>
      </c>
      <c r="F230" s="2">
        <v>56.177900000000001</v>
      </c>
      <c r="G230" s="2">
        <v>8.5881000000000007</v>
      </c>
      <c r="H230" s="2">
        <v>35.694400000000002</v>
      </c>
      <c r="I230" s="2">
        <v>6607.4282000000003</v>
      </c>
      <c r="J230" s="5">
        <v>3.8270740000000001</v>
      </c>
      <c r="K230" s="2">
        <v>33.854799999999997</v>
      </c>
      <c r="L230" s="2">
        <v>11.777222</v>
      </c>
      <c r="M230" s="2">
        <v>4.4275270000000004</v>
      </c>
      <c r="N230" s="2">
        <v>129.4306</v>
      </c>
      <c r="O230" s="2">
        <v>20.9466</v>
      </c>
      <c r="P230" s="2">
        <v>0.83830000000000005</v>
      </c>
      <c r="Q230" s="2">
        <v>1779.8659</v>
      </c>
      <c r="R230" s="2">
        <v>1.6188</v>
      </c>
      <c r="S230" s="2">
        <v>11.121841</v>
      </c>
      <c r="T230" s="2">
        <v>589.54719999999998</v>
      </c>
      <c r="U230" s="2">
        <v>2.9032</v>
      </c>
    </row>
    <row r="231" spans="1:21" customFormat="1" x14ac:dyDescent="0.5">
      <c r="A231" s="1" t="s">
        <v>335</v>
      </c>
      <c r="B231" s="2">
        <v>20.546962000000001</v>
      </c>
      <c r="C231" s="2">
        <v>8.2330000000000005</v>
      </c>
      <c r="D231" s="2">
        <v>3476.2102530000002</v>
      </c>
      <c r="E231" s="5">
        <v>745.30598199999997</v>
      </c>
      <c r="F231" s="2">
        <v>56.856999999999999</v>
      </c>
      <c r="G231" s="2">
        <v>8.7024000000000008</v>
      </c>
      <c r="H231" s="2">
        <v>36.167499999999997</v>
      </c>
      <c r="I231" s="2">
        <v>6742.3572999999997</v>
      </c>
      <c r="J231" s="5">
        <v>3.8676680000000001</v>
      </c>
      <c r="K231" s="2">
        <v>34.446199999999997</v>
      </c>
      <c r="L231" s="2">
        <v>11.884785000000001</v>
      </c>
      <c r="M231" s="2">
        <v>4.4679640000000003</v>
      </c>
      <c r="N231" s="2">
        <v>133.13910000000001</v>
      </c>
      <c r="O231" s="2">
        <v>20.7943</v>
      </c>
      <c r="P231" s="2">
        <v>0.84589999999999999</v>
      </c>
      <c r="Q231" s="2">
        <v>1796.1215999999999</v>
      </c>
      <c r="R231" s="2">
        <v>1.6060000000000001</v>
      </c>
      <c r="S231" s="2">
        <v>11.159777</v>
      </c>
      <c r="T231" s="2">
        <v>588.59990000000005</v>
      </c>
      <c r="U231" s="2">
        <v>2.9161000000000001</v>
      </c>
    </row>
    <row r="232" spans="1:21" customFormat="1" x14ac:dyDescent="0.5">
      <c r="A232" s="1" t="s">
        <v>336</v>
      </c>
      <c r="B232" s="2">
        <v>20.536373999999999</v>
      </c>
      <c r="C232" s="2">
        <v>8.1233000000000004</v>
      </c>
      <c r="D232" s="2">
        <v>3473.3578000000002</v>
      </c>
      <c r="E232" s="5">
        <v>740.08628099999999</v>
      </c>
      <c r="F232" s="2">
        <v>56.229900000000001</v>
      </c>
      <c r="G232" s="2">
        <v>8.6295999999999999</v>
      </c>
      <c r="H232" s="2">
        <v>35.831499999999998</v>
      </c>
      <c r="I232" s="2">
        <v>6633.0370000000003</v>
      </c>
      <c r="J232" s="5">
        <v>3.821885</v>
      </c>
      <c r="K232" s="2">
        <v>34.536099999999998</v>
      </c>
      <c r="L232" s="2">
        <v>11.726474</v>
      </c>
      <c r="M232" s="2">
        <v>4.4084490000000001</v>
      </c>
      <c r="N232" s="2">
        <v>134.1754</v>
      </c>
      <c r="O232" s="2">
        <v>20.479900000000001</v>
      </c>
      <c r="P232" s="2">
        <v>0.8347</v>
      </c>
      <c r="Q232" s="2">
        <v>1772.1964</v>
      </c>
      <c r="R232" s="2">
        <v>1.5951</v>
      </c>
      <c r="S232" s="2">
        <v>11.104322</v>
      </c>
      <c r="T232" s="2">
        <v>580.22410000000002</v>
      </c>
      <c r="U232" s="2">
        <v>2.92</v>
      </c>
    </row>
    <row r="233" spans="1:21" customFormat="1" x14ac:dyDescent="0.5">
      <c r="A233" s="1" t="s">
        <v>337</v>
      </c>
      <c r="B233" s="2">
        <v>20.520959000000001</v>
      </c>
      <c r="C233" s="2">
        <v>8.1110000000000007</v>
      </c>
      <c r="D233" s="2">
        <v>3540.119639</v>
      </c>
      <c r="E233" s="5">
        <v>743.82285100000001</v>
      </c>
      <c r="F233" s="2">
        <v>56.311300000000003</v>
      </c>
      <c r="G233" s="2">
        <v>8.6036999999999999</v>
      </c>
      <c r="H233" s="2">
        <v>35.923200000000001</v>
      </c>
      <c r="I233" s="2">
        <v>6638.4408000000003</v>
      </c>
      <c r="J233" s="5">
        <v>3.8037269999999999</v>
      </c>
      <c r="K233" s="2">
        <v>34.311300000000003</v>
      </c>
      <c r="L233" s="2">
        <v>11.708655</v>
      </c>
      <c r="M233" s="2">
        <v>4.4017499999999998</v>
      </c>
      <c r="N233" s="2">
        <v>135.0727</v>
      </c>
      <c r="O233" s="2">
        <v>20.8706</v>
      </c>
      <c r="P233" s="2">
        <v>0.83340000000000003</v>
      </c>
      <c r="Q233" s="2">
        <v>1769.5035</v>
      </c>
      <c r="R233" s="2">
        <v>1.6247</v>
      </c>
      <c r="S233" s="2">
        <v>11.093304</v>
      </c>
      <c r="T233" s="2">
        <v>579.70050000000003</v>
      </c>
      <c r="U233" s="2">
        <v>2.9302999999999999</v>
      </c>
    </row>
    <row r="234" spans="1:21" customFormat="1" x14ac:dyDescent="0.5">
      <c r="A234" s="1" t="s">
        <v>338</v>
      </c>
      <c r="B234" s="2">
        <v>20.971896000000001</v>
      </c>
      <c r="C234" s="2">
        <v>8.1788000000000007</v>
      </c>
      <c r="D234" s="2">
        <v>3541.1916590000001</v>
      </c>
      <c r="E234" s="5">
        <v>753.87628199999995</v>
      </c>
      <c r="F234" s="2">
        <v>57.049199999999999</v>
      </c>
      <c r="G234" s="2">
        <v>8.6873000000000005</v>
      </c>
      <c r="H234" s="2">
        <v>36.3718</v>
      </c>
      <c r="I234" s="2">
        <v>6664.6854000000003</v>
      </c>
      <c r="J234" s="5">
        <v>3.8422519999999998</v>
      </c>
      <c r="K234" s="2">
        <v>34.183</v>
      </c>
      <c r="L234" s="2">
        <v>11.806620000000001</v>
      </c>
      <c r="M234" s="2">
        <v>4.4385789999999998</v>
      </c>
      <c r="N234" s="2">
        <v>136.40270000000001</v>
      </c>
      <c r="O234" s="2">
        <v>21.279299999999999</v>
      </c>
      <c r="P234" s="2">
        <v>0.84040000000000004</v>
      </c>
      <c r="Q234" s="2">
        <v>1784.3087</v>
      </c>
      <c r="R234" s="2">
        <v>1.6376999999999999</v>
      </c>
      <c r="S234" s="2">
        <v>11.13552</v>
      </c>
      <c r="T234" s="2">
        <v>523.49450000000002</v>
      </c>
      <c r="U234" s="2">
        <v>2.9464999999999999</v>
      </c>
    </row>
    <row r="235" spans="1:21" customFormat="1" x14ac:dyDescent="0.5">
      <c r="A235" s="1" t="s">
        <v>339</v>
      </c>
      <c r="B235" s="2">
        <v>23.156846999999999</v>
      </c>
      <c r="C235" s="2">
        <v>8.4298999999999999</v>
      </c>
      <c r="D235" s="2">
        <v>3499.9157749999999</v>
      </c>
      <c r="E235" s="5">
        <v>738.79823399999998</v>
      </c>
      <c r="F235" s="2">
        <v>59.075699999999998</v>
      </c>
      <c r="G235" s="2">
        <v>8.9565999999999999</v>
      </c>
      <c r="H235" s="2">
        <v>37.643900000000002</v>
      </c>
      <c r="I235" s="2">
        <v>6855.8735999999999</v>
      </c>
      <c r="J235" s="5">
        <v>3.9223430000000001</v>
      </c>
      <c r="K235" s="2">
        <v>34.856999999999999</v>
      </c>
      <c r="L235" s="2">
        <v>398.67966000000001</v>
      </c>
      <c r="M235" s="2">
        <v>4.5748129999999998</v>
      </c>
      <c r="N235" s="2">
        <v>139.43639999999999</v>
      </c>
      <c r="O235" s="2">
        <v>21.990300000000001</v>
      </c>
      <c r="P235" s="2">
        <v>0.86619999999999997</v>
      </c>
      <c r="Q235" s="2">
        <v>1839.0745999999999</v>
      </c>
      <c r="R235" s="2">
        <v>1.6731</v>
      </c>
      <c r="S235" s="2">
        <v>11.272646</v>
      </c>
      <c r="T235" s="2">
        <v>543.74810000000002</v>
      </c>
      <c r="U235" s="2">
        <v>3.0041000000000002</v>
      </c>
    </row>
    <row r="236" spans="1:21" customFormat="1" x14ac:dyDescent="0.5">
      <c r="A236" s="1" t="s">
        <v>340</v>
      </c>
      <c r="B236" s="2">
        <v>24.489761999999999</v>
      </c>
      <c r="C236" s="2">
        <v>8.5322999999999993</v>
      </c>
      <c r="D236" s="2">
        <v>3531.9101219999998</v>
      </c>
      <c r="E236" s="5">
        <v>737.20460300000002</v>
      </c>
      <c r="F236" s="2">
        <v>60.302599999999998</v>
      </c>
      <c r="G236" s="2">
        <v>9.0884</v>
      </c>
      <c r="H236" s="2">
        <v>38.252000000000002</v>
      </c>
      <c r="I236" s="2">
        <v>6894.5056000000004</v>
      </c>
      <c r="J236" s="5">
        <v>4.0110279999999996</v>
      </c>
      <c r="K236" s="2">
        <v>35.215600000000002</v>
      </c>
      <c r="L236" s="2">
        <v>25959.983851000001</v>
      </c>
      <c r="M236" s="2">
        <v>4.6304249999999998</v>
      </c>
      <c r="N236" s="2">
        <v>140.59289999999999</v>
      </c>
      <c r="O236" s="2">
        <v>21.525400000000001</v>
      </c>
      <c r="P236" s="2">
        <v>0.87670000000000003</v>
      </c>
      <c r="Q236" s="2">
        <v>1861.4309000000001</v>
      </c>
      <c r="R236" s="2">
        <v>1.6263000000000001</v>
      </c>
      <c r="S236" s="2">
        <v>11.347721</v>
      </c>
      <c r="T236" s="2">
        <v>533.14110000000005</v>
      </c>
      <c r="U236" s="2">
        <v>2.9937</v>
      </c>
    </row>
    <row r="237" spans="1:21" customFormat="1" x14ac:dyDescent="0.5">
      <c r="A237" s="1" t="s">
        <v>341</v>
      </c>
      <c r="B237" s="2">
        <v>25.529745999999999</v>
      </c>
      <c r="C237" s="2">
        <v>8.5243000000000002</v>
      </c>
      <c r="D237" s="2">
        <v>3517.863464</v>
      </c>
      <c r="E237" s="5">
        <v>744.04314199999999</v>
      </c>
      <c r="F237" s="2">
        <v>60.697699999999998</v>
      </c>
      <c r="G237" s="2">
        <v>9.1196000000000002</v>
      </c>
      <c r="H237" s="2">
        <v>38.366999999999997</v>
      </c>
      <c r="I237" s="2">
        <v>6824.1270999999997</v>
      </c>
      <c r="J237" s="5">
        <v>4.0116059999999996</v>
      </c>
      <c r="K237" s="2">
        <v>35.024299999999997</v>
      </c>
      <c r="L237" s="2">
        <v>49202.132403000003</v>
      </c>
      <c r="M237" s="2">
        <v>4.6260709999999996</v>
      </c>
      <c r="N237" s="2">
        <v>140.67590000000001</v>
      </c>
      <c r="O237" s="2">
        <v>21.655799999999999</v>
      </c>
      <c r="P237" s="2">
        <v>0.87590000000000001</v>
      </c>
      <c r="Q237" s="2">
        <v>1859.6806999999999</v>
      </c>
      <c r="R237" s="2">
        <v>1.6387</v>
      </c>
      <c r="S237" s="2">
        <v>11.329231999999999</v>
      </c>
      <c r="T237" s="2">
        <v>537.81169999999997</v>
      </c>
      <c r="U237" s="2">
        <v>2.9940000000000002</v>
      </c>
    </row>
    <row r="238" spans="1:21" customFormat="1" x14ac:dyDescent="0.5">
      <c r="A238" s="1" t="s">
        <v>342</v>
      </c>
      <c r="B238" s="2">
        <v>24.843302999999999</v>
      </c>
      <c r="C238" s="2">
        <v>8.4829000000000008</v>
      </c>
      <c r="D238" s="2">
        <v>3395.5754750000001</v>
      </c>
      <c r="E238" s="5">
        <v>737.25904200000002</v>
      </c>
      <c r="F238" s="2">
        <v>60.621200000000002</v>
      </c>
      <c r="G238" s="2">
        <v>9.0863999999999994</v>
      </c>
      <c r="H238" s="2">
        <v>38.3367</v>
      </c>
      <c r="I238" s="2">
        <v>6808.3185000000003</v>
      </c>
      <c r="J238" s="5">
        <v>3.9660120000000001</v>
      </c>
      <c r="K238" s="2">
        <v>34.7624</v>
      </c>
      <c r="L238" s="2">
        <v>69590.266636</v>
      </c>
      <c r="M238" s="2">
        <v>4.6036130000000002</v>
      </c>
      <c r="N238" s="2">
        <v>140.21559999999999</v>
      </c>
      <c r="O238" s="2">
        <v>21.297000000000001</v>
      </c>
      <c r="P238" s="2">
        <v>0.87160000000000004</v>
      </c>
      <c r="Q238" s="2">
        <v>1850.6522</v>
      </c>
      <c r="R238" s="2">
        <v>1.6086</v>
      </c>
      <c r="S238" s="2">
        <v>11.308419000000001</v>
      </c>
      <c r="T238" s="2">
        <v>527.24839999999995</v>
      </c>
      <c r="U238" s="2">
        <v>2.9802</v>
      </c>
    </row>
    <row r="239" spans="1:21" customFormat="1" x14ac:dyDescent="0.5">
      <c r="A239" s="1" t="s">
        <v>343</v>
      </c>
      <c r="B239" s="2">
        <v>27.969346000000002</v>
      </c>
      <c r="C239" s="2">
        <v>8.1622000000000003</v>
      </c>
      <c r="D239" s="2">
        <v>3375.5511940000001</v>
      </c>
      <c r="E239" s="5">
        <v>738.78112999999996</v>
      </c>
      <c r="F239" s="2">
        <v>58.354500000000002</v>
      </c>
      <c r="G239" s="2">
        <v>8.7921999999999993</v>
      </c>
      <c r="H239" s="2">
        <v>37.038200000000003</v>
      </c>
      <c r="I239" s="2">
        <v>6665.0353999999998</v>
      </c>
      <c r="J239" s="5">
        <v>3.8668670000000001</v>
      </c>
      <c r="K239" s="2">
        <v>36.100999999999999</v>
      </c>
      <c r="L239" s="2">
        <v>86939.469255999997</v>
      </c>
      <c r="M239" s="2">
        <v>4.4295850000000003</v>
      </c>
      <c r="N239" s="2">
        <v>136.99109999999999</v>
      </c>
      <c r="O239" s="2">
        <v>20.804200000000002</v>
      </c>
      <c r="P239" s="2">
        <v>0.8387</v>
      </c>
      <c r="Q239" s="2">
        <v>1780.6932999999999</v>
      </c>
      <c r="R239" s="2">
        <v>1.5952999999999999</v>
      </c>
      <c r="S239" s="2">
        <v>11.132428000000001</v>
      </c>
      <c r="T239" s="2">
        <v>510.66140000000001</v>
      </c>
      <c r="U239" s="2">
        <v>2.9723000000000002</v>
      </c>
    </row>
    <row r="240" spans="1:21" customFormat="1" x14ac:dyDescent="0.5">
      <c r="A240" s="1" t="s">
        <v>344</v>
      </c>
      <c r="B240" s="2">
        <v>31.0243</v>
      </c>
      <c r="C240" s="2">
        <v>8.0696999999999992</v>
      </c>
      <c r="D240" s="2">
        <v>3377.3292809999998</v>
      </c>
      <c r="E240" s="5">
        <v>742.90969700000005</v>
      </c>
      <c r="F240" s="2">
        <v>57.709499999999998</v>
      </c>
      <c r="G240" s="2">
        <v>8.7403999999999993</v>
      </c>
      <c r="H240" s="2">
        <v>36.767800000000001</v>
      </c>
      <c r="I240" s="2">
        <v>6639.1100999999999</v>
      </c>
      <c r="J240" s="5">
        <v>3.819909</v>
      </c>
      <c r="K240" s="2">
        <v>36.6295</v>
      </c>
      <c r="L240" s="2">
        <v>97852.356</v>
      </c>
      <c r="M240" s="2">
        <v>4.3793569999999997</v>
      </c>
      <c r="N240" s="2">
        <v>136.59710000000001</v>
      </c>
      <c r="O240" s="2">
        <v>20.7806</v>
      </c>
      <c r="P240" s="2">
        <v>0.82920000000000005</v>
      </c>
      <c r="Q240" s="2">
        <v>1760.5016000000001</v>
      </c>
      <c r="R240" s="2">
        <v>1.5911999999999999</v>
      </c>
      <c r="S240" s="2">
        <v>11.088906</v>
      </c>
      <c r="T240" s="2">
        <v>508.87169999999998</v>
      </c>
      <c r="U240" s="2">
        <v>3.0379</v>
      </c>
    </row>
    <row r="241" spans="1:21" customFormat="1" x14ac:dyDescent="0.5">
      <c r="A241" s="1" t="s">
        <v>345</v>
      </c>
      <c r="B241" s="2">
        <v>32.170340000000003</v>
      </c>
      <c r="C241" s="2">
        <v>8.0747999999999998</v>
      </c>
      <c r="D241" s="2">
        <v>3370.4599790000002</v>
      </c>
      <c r="E241" s="5">
        <v>762.40698399999997</v>
      </c>
      <c r="F241" s="2">
        <v>57.942599999999999</v>
      </c>
      <c r="G241" s="2">
        <v>8.7434999999999992</v>
      </c>
      <c r="H241" s="2">
        <v>36.941600000000001</v>
      </c>
      <c r="I241" s="2">
        <v>6687.7739000000001</v>
      </c>
      <c r="J241" s="5">
        <v>3.8289399999999998</v>
      </c>
      <c r="K241" s="2">
        <v>36.395899999999997</v>
      </c>
      <c r="L241" s="2" t="s">
        <v>346</v>
      </c>
      <c r="M241" s="2">
        <v>4.3821479999999999</v>
      </c>
      <c r="N241" s="2">
        <v>137.51439999999999</v>
      </c>
      <c r="O241" s="2">
        <v>20.937100000000001</v>
      </c>
      <c r="P241" s="2">
        <v>0.82969999999999999</v>
      </c>
      <c r="Q241" s="2">
        <v>1761.6233999999999</v>
      </c>
      <c r="R241" s="2">
        <v>1.6152</v>
      </c>
      <c r="S241" s="2">
        <v>11.061368999999999</v>
      </c>
      <c r="T241" s="2">
        <v>512.27639999999997</v>
      </c>
      <c r="U241" s="2">
        <v>3.1023000000000001</v>
      </c>
    </row>
    <row r="242" spans="1:21" customFormat="1" x14ac:dyDescent="0.5">
      <c r="A242" s="1" t="s">
        <v>347</v>
      </c>
      <c r="B242" s="2">
        <v>34.774717000000003</v>
      </c>
      <c r="C242" s="2">
        <v>7.9802999999999997</v>
      </c>
      <c r="D242" s="2">
        <v>3417.9945250000001</v>
      </c>
      <c r="E242" s="5">
        <v>757.90132200000005</v>
      </c>
      <c r="F242" s="2">
        <v>57.430199999999999</v>
      </c>
      <c r="G242" s="2">
        <v>8.6701999999999995</v>
      </c>
      <c r="H242" s="2">
        <v>36.660800000000002</v>
      </c>
      <c r="I242" s="2">
        <v>6675.6034</v>
      </c>
      <c r="J242" s="5">
        <v>3.7973789999999998</v>
      </c>
      <c r="K242" s="2">
        <v>36.178100000000001</v>
      </c>
      <c r="L242" s="2" t="s">
        <v>346</v>
      </c>
      <c r="M242" s="2">
        <v>4.3308590000000002</v>
      </c>
      <c r="N242" s="2">
        <v>136.7388</v>
      </c>
      <c r="O242" s="2">
        <v>20.778500000000001</v>
      </c>
      <c r="P242" s="2">
        <v>0.82</v>
      </c>
      <c r="Q242" s="2">
        <v>1741.0052000000001</v>
      </c>
      <c r="R242" s="2">
        <v>1.6054999999999999</v>
      </c>
      <c r="S242" s="2">
        <v>10.942117</v>
      </c>
      <c r="T242" s="2">
        <v>508.56619999999998</v>
      </c>
      <c r="U242" s="2">
        <v>3.1777000000000002</v>
      </c>
    </row>
    <row r="243" spans="1:21" customFormat="1" x14ac:dyDescent="0.5">
      <c r="A243" s="1" t="s">
        <v>348</v>
      </c>
      <c r="B243" s="2">
        <v>44.807414999999999</v>
      </c>
      <c r="C243" s="2">
        <v>8.0562000000000005</v>
      </c>
      <c r="D243" s="2">
        <v>3543.1307459999998</v>
      </c>
      <c r="E243" s="5">
        <v>793.88970400000005</v>
      </c>
      <c r="F243" s="2">
        <v>58.084600000000002</v>
      </c>
      <c r="G243" s="2">
        <v>8.9359999999999999</v>
      </c>
      <c r="H243" s="2">
        <v>37.160400000000003</v>
      </c>
      <c r="I243" s="2">
        <v>6826.3373000000001</v>
      </c>
      <c r="J243" s="5">
        <v>3.8605740000000002</v>
      </c>
      <c r="K243" s="2">
        <v>38.317900000000002</v>
      </c>
      <c r="L243" s="2" t="s">
        <v>346</v>
      </c>
      <c r="M243" s="2">
        <v>4.3720129999999999</v>
      </c>
      <c r="N243" s="2">
        <v>137.56229999999999</v>
      </c>
      <c r="O243" s="2">
        <v>20.669699999999999</v>
      </c>
      <c r="P243" s="2">
        <v>0.82779999999999998</v>
      </c>
      <c r="Q243" s="2">
        <v>1757.549</v>
      </c>
      <c r="R243" s="2">
        <v>1.5983000000000001</v>
      </c>
      <c r="S243" s="2">
        <v>10.971297</v>
      </c>
      <c r="T243" s="2">
        <v>505.29239999999999</v>
      </c>
      <c r="U243" s="2">
        <v>3.2368000000000001</v>
      </c>
    </row>
    <row r="244" spans="1:21" customFormat="1" x14ac:dyDescent="0.5">
      <c r="A244" s="1" t="s">
        <v>349</v>
      </c>
      <c r="B244" s="2">
        <v>42.44135</v>
      </c>
      <c r="C244" s="2">
        <v>7.9355000000000002</v>
      </c>
      <c r="D244" s="2">
        <v>3540.6344829999998</v>
      </c>
      <c r="E244" s="5">
        <v>777.57988599999999</v>
      </c>
      <c r="F244" s="2">
        <v>57.393799999999999</v>
      </c>
      <c r="G244" s="2">
        <v>8.8696000000000002</v>
      </c>
      <c r="H244" s="2">
        <v>36.7532</v>
      </c>
      <c r="I244" s="2">
        <v>6837.9620000000004</v>
      </c>
      <c r="J244" s="5">
        <v>3.8286760000000002</v>
      </c>
      <c r="K244" s="2">
        <v>37.766399999999997</v>
      </c>
      <c r="L244" s="2" t="s">
        <v>346</v>
      </c>
      <c r="M244" s="2">
        <v>4.3065160000000002</v>
      </c>
      <c r="N244" s="2">
        <v>136.28110000000001</v>
      </c>
      <c r="O244" s="2">
        <v>20.213100000000001</v>
      </c>
      <c r="P244" s="2">
        <v>0.81540000000000001</v>
      </c>
      <c r="Q244" s="2">
        <v>1731.2195999999999</v>
      </c>
      <c r="R244" s="2">
        <v>1.5716000000000001</v>
      </c>
      <c r="S244" s="2">
        <v>10.898128</v>
      </c>
      <c r="T244" s="2" t="s">
        <v>346</v>
      </c>
      <c r="U244" s="2">
        <v>3.2591999999999999</v>
      </c>
    </row>
    <row r="245" spans="1:21" customFormat="1" x14ac:dyDescent="0.5">
      <c r="A245" s="1" t="s">
        <v>350</v>
      </c>
      <c r="B245" s="2">
        <v>41.357765000000001</v>
      </c>
      <c r="C245" s="2">
        <v>7.8544999999999998</v>
      </c>
      <c r="D245" s="2">
        <v>3634.7813540000002</v>
      </c>
      <c r="E245" s="5">
        <v>771.277693</v>
      </c>
      <c r="F245" s="2">
        <v>56.990600000000001</v>
      </c>
      <c r="G245" s="2">
        <v>8.7492999999999999</v>
      </c>
      <c r="H245" s="2">
        <v>36.526800000000001</v>
      </c>
      <c r="I245" s="2">
        <v>6747.65</v>
      </c>
      <c r="J245" s="5">
        <v>3.835947</v>
      </c>
      <c r="K245" s="2">
        <v>36.9846</v>
      </c>
      <c r="L245" s="2" t="s">
        <v>346</v>
      </c>
      <c r="M245" s="2">
        <v>4.2625739999999999</v>
      </c>
      <c r="N245" s="2">
        <v>134.71799999999999</v>
      </c>
      <c r="O245" s="2">
        <v>20.288799999999998</v>
      </c>
      <c r="P245" s="2">
        <v>0.80700000000000005</v>
      </c>
      <c r="Q245" s="2">
        <v>1713.5546999999999</v>
      </c>
      <c r="R245" s="2">
        <v>1.5853999999999999</v>
      </c>
      <c r="S245" s="2">
        <v>10.819944</v>
      </c>
      <c r="T245" s="2" t="s">
        <v>346</v>
      </c>
      <c r="U245" s="2">
        <v>3.3079000000000001</v>
      </c>
    </row>
    <row r="246" spans="1:21" customFormat="1" x14ac:dyDescent="0.5">
      <c r="A246" s="1" t="s">
        <v>351</v>
      </c>
      <c r="B246" s="2">
        <v>42.957977</v>
      </c>
      <c r="C246" s="2">
        <v>7.8665000000000003</v>
      </c>
      <c r="D246" s="2">
        <v>3652.3540750000002</v>
      </c>
      <c r="E246" s="5">
        <v>776.59468000000004</v>
      </c>
      <c r="F246" s="2">
        <v>57.1601</v>
      </c>
      <c r="G246" s="2">
        <v>8.8015000000000008</v>
      </c>
      <c r="H246" s="2">
        <v>36.731999999999999</v>
      </c>
      <c r="I246" s="2">
        <v>6748.1903000000002</v>
      </c>
      <c r="J246" s="5">
        <v>3.8296779999999999</v>
      </c>
      <c r="K246" s="2">
        <v>36.672800000000002</v>
      </c>
      <c r="L246" s="2" t="s">
        <v>346</v>
      </c>
      <c r="M246" s="2">
        <v>4.2690789999999996</v>
      </c>
      <c r="N246" s="2">
        <v>134.9255</v>
      </c>
      <c r="O246" s="2">
        <v>20.455200000000001</v>
      </c>
      <c r="P246" s="2">
        <v>0.80830000000000002</v>
      </c>
      <c r="Q246" s="2">
        <v>1716.1696999999999</v>
      </c>
      <c r="R246" s="2">
        <v>1.5978000000000001</v>
      </c>
      <c r="S246" s="2">
        <v>10.847403</v>
      </c>
      <c r="T246" s="2" t="s">
        <v>346</v>
      </c>
      <c r="U246" s="2">
        <v>3.3839999999999999</v>
      </c>
    </row>
    <row r="247" spans="1:21" customFormat="1" x14ac:dyDescent="0.5">
      <c r="A247" s="1" t="s">
        <v>352</v>
      </c>
      <c r="B247" s="2">
        <v>42.569963000000001</v>
      </c>
      <c r="C247" s="2">
        <v>7.8887</v>
      </c>
      <c r="D247" s="2">
        <v>3614.551457</v>
      </c>
      <c r="E247" s="5">
        <v>773.33994099999995</v>
      </c>
      <c r="F247" s="2">
        <v>57.511400000000002</v>
      </c>
      <c r="G247" s="2">
        <v>8.8248999999999995</v>
      </c>
      <c r="H247" s="2">
        <v>36.988799999999998</v>
      </c>
      <c r="I247" s="2">
        <v>6894.0654000000004</v>
      </c>
      <c r="J247" s="5">
        <v>3.8174920000000001</v>
      </c>
      <c r="K247" s="2">
        <v>37.215699999999998</v>
      </c>
      <c r="L247" s="2" t="s">
        <v>346</v>
      </c>
      <c r="M247" s="2">
        <v>4.2811529999999998</v>
      </c>
      <c r="N247" s="2">
        <v>135.0909</v>
      </c>
      <c r="O247" s="2">
        <v>20.4541</v>
      </c>
      <c r="P247" s="2">
        <v>0.81059999999999999</v>
      </c>
      <c r="Q247" s="2">
        <v>1721.0237</v>
      </c>
      <c r="R247" s="2">
        <v>1.5914999999999999</v>
      </c>
      <c r="S247" s="2">
        <v>10.886383</v>
      </c>
      <c r="T247" s="2" t="s">
        <v>346</v>
      </c>
      <c r="U247" s="2">
        <v>3.4481000000000002</v>
      </c>
    </row>
    <row r="248" spans="1:21" customFormat="1" x14ac:dyDescent="0.5">
      <c r="A248" s="1" t="s">
        <v>353</v>
      </c>
      <c r="B248" s="2">
        <v>43.480013</v>
      </c>
      <c r="C248" s="2">
        <v>7.8436000000000003</v>
      </c>
      <c r="D248" s="2">
        <v>3534.4852409999999</v>
      </c>
      <c r="E248" s="5">
        <v>744.52252599999997</v>
      </c>
      <c r="F248" s="2">
        <v>57.311599999999999</v>
      </c>
      <c r="G248" s="2">
        <v>8.7757000000000005</v>
      </c>
      <c r="H248" s="2">
        <v>36.922699999999999</v>
      </c>
      <c r="I248" s="2">
        <v>6877.5897000000004</v>
      </c>
      <c r="J248" s="5">
        <v>3.7702559999999998</v>
      </c>
      <c r="K248" s="2">
        <v>37.015900000000002</v>
      </c>
      <c r="L248" s="2" t="s">
        <v>346</v>
      </c>
      <c r="M248" s="2">
        <v>4.2566810000000004</v>
      </c>
      <c r="N248" s="2">
        <v>134.6446</v>
      </c>
      <c r="O248" s="2">
        <v>20.011900000000001</v>
      </c>
      <c r="P248" s="2">
        <v>0.80589999999999995</v>
      </c>
      <c r="Q248" s="2">
        <v>1711.1858999999999</v>
      </c>
      <c r="R248" s="2">
        <v>1.5799000000000001</v>
      </c>
      <c r="S248" s="2">
        <v>10.824877000000001</v>
      </c>
      <c r="T248" s="2" t="s">
        <v>346</v>
      </c>
      <c r="U248" s="2">
        <v>3.4651999999999998</v>
      </c>
    </row>
    <row r="249" spans="1:21" customFormat="1" x14ac:dyDescent="0.5">
      <c r="A249" s="1" t="s">
        <v>354</v>
      </c>
      <c r="B249" s="2">
        <v>46.810108999999997</v>
      </c>
      <c r="C249" s="2">
        <v>7.81</v>
      </c>
      <c r="D249" s="2">
        <v>3532.4035730000001</v>
      </c>
      <c r="E249" s="5">
        <v>755.26649699999996</v>
      </c>
      <c r="F249" s="2">
        <v>57.126300000000001</v>
      </c>
      <c r="G249" s="2">
        <v>8.6888000000000005</v>
      </c>
      <c r="H249" s="2">
        <v>36.909599999999998</v>
      </c>
      <c r="I249" s="2">
        <v>6927.8860999999997</v>
      </c>
      <c r="J249" s="5">
        <v>3.7351190000000001</v>
      </c>
      <c r="K249" s="2">
        <v>37.651499999999999</v>
      </c>
      <c r="L249" s="2" t="s">
        <v>346</v>
      </c>
      <c r="M249" s="2">
        <v>4.238429</v>
      </c>
      <c r="N249" s="2">
        <v>134.4135</v>
      </c>
      <c r="O249" s="2">
        <v>19.474599999999999</v>
      </c>
      <c r="P249" s="2">
        <v>0.80249999999999999</v>
      </c>
      <c r="Q249" s="2">
        <v>1703.8483000000001</v>
      </c>
      <c r="R249" s="2">
        <v>1.5601</v>
      </c>
      <c r="S249" s="2">
        <v>10.86218</v>
      </c>
      <c r="T249" s="2" t="s">
        <v>346</v>
      </c>
      <c r="U249" s="2">
        <v>3.452</v>
      </c>
    </row>
    <row r="250" spans="1:21" customFormat="1" x14ac:dyDescent="0.5">
      <c r="A250" s="1" t="s">
        <v>355</v>
      </c>
      <c r="B250" s="2">
        <v>48.507545999999998</v>
      </c>
      <c r="C250" s="2">
        <v>7.7656000000000001</v>
      </c>
      <c r="D250" s="2">
        <v>3547.4671189999999</v>
      </c>
      <c r="E250" s="5">
        <v>749.68628899999999</v>
      </c>
      <c r="F250" s="2">
        <v>56.812100000000001</v>
      </c>
      <c r="G250" s="2">
        <v>8.5890000000000004</v>
      </c>
      <c r="H250" s="2">
        <v>36.849800000000002</v>
      </c>
      <c r="I250" s="2">
        <v>7001.4331000000002</v>
      </c>
      <c r="J250" s="5">
        <v>3.7129210000000001</v>
      </c>
      <c r="K250" s="2">
        <v>38.363300000000002</v>
      </c>
      <c r="L250" s="2" t="s">
        <v>346</v>
      </c>
      <c r="M250" s="2">
        <v>4.2143439999999996</v>
      </c>
      <c r="N250" s="2">
        <v>134.0812</v>
      </c>
      <c r="O250" s="2">
        <v>19.320699999999999</v>
      </c>
      <c r="P250" s="2">
        <v>0.79790000000000005</v>
      </c>
      <c r="Q250" s="2">
        <v>1694.1661999999999</v>
      </c>
      <c r="R250" s="2">
        <v>1.5625</v>
      </c>
      <c r="S250" s="2">
        <v>10.825239</v>
      </c>
      <c r="T250" s="2" t="s">
        <v>346</v>
      </c>
      <c r="U250" s="2">
        <v>3.4041999999999999</v>
      </c>
    </row>
    <row r="251" spans="1:21" customFormat="1" x14ac:dyDescent="0.5">
      <c r="A251" s="1" t="s">
        <v>356</v>
      </c>
      <c r="B251" s="2">
        <v>50.081578</v>
      </c>
      <c r="C251" s="2">
        <v>7.7286000000000001</v>
      </c>
      <c r="D251" s="2">
        <v>3696.025799</v>
      </c>
      <c r="E251" s="5">
        <v>774.07222200000001</v>
      </c>
      <c r="F251" s="2">
        <v>56.554499999999997</v>
      </c>
      <c r="G251" s="2">
        <v>8.5792000000000002</v>
      </c>
      <c r="H251" s="2">
        <v>36.823700000000002</v>
      </c>
      <c r="I251" s="2">
        <v>7064.7705999999998</v>
      </c>
      <c r="J251" s="5">
        <v>3.727112</v>
      </c>
      <c r="K251" s="2">
        <v>39.3279</v>
      </c>
      <c r="L251" s="2" t="s">
        <v>346</v>
      </c>
      <c r="M251" s="2">
        <v>4.1942219999999999</v>
      </c>
      <c r="N251" s="2">
        <v>133.66890000000001</v>
      </c>
      <c r="O251" s="2">
        <v>18.925599999999999</v>
      </c>
      <c r="P251" s="2">
        <v>0.79410000000000003</v>
      </c>
      <c r="Q251" s="2">
        <v>1686.0771</v>
      </c>
      <c r="R251" s="2">
        <v>1.5588</v>
      </c>
      <c r="S251" s="2">
        <v>10.825763999999999</v>
      </c>
      <c r="T251" s="2" t="s">
        <v>346</v>
      </c>
      <c r="U251" s="2">
        <v>3.3439999999999999</v>
      </c>
    </row>
    <row r="252" spans="1:21" customFormat="1" x14ac:dyDescent="0.5">
      <c r="A252" s="1" t="s">
        <v>357</v>
      </c>
      <c r="B252" s="2">
        <v>49.273895000000003</v>
      </c>
      <c r="C252" s="2">
        <v>7.8037000000000001</v>
      </c>
      <c r="D252" s="2">
        <v>3680.331025</v>
      </c>
      <c r="E252" s="5">
        <v>781.96518000000003</v>
      </c>
      <c r="F252" s="2">
        <v>57.288800000000002</v>
      </c>
      <c r="G252" s="2">
        <v>8.6981999999999999</v>
      </c>
      <c r="H252" s="2">
        <v>37.3339</v>
      </c>
      <c r="I252" s="2">
        <v>7039.9943999999996</v>
      </c>
      <c r="J252" s="5">
        <v>3.7557900000000002</v>
      </c>
      <c r="K252" s="2">
        <v>39.809600000000003</v>
      </c>
      <c r="L252" s="2" t="s">
        <v>346</v>
      </c>
      <c r="M252" s="2">
        <v>4.2350250000000003</v>
      </c>
      <c r="N252" s="2">
        <v>134.45609999999999</v>
      </c>
      <c r="O252" s="2">
        <v>18.9864</v>
      </c>
      <c r="P252" s="2">
        <v>0.80179999999999996</v>
      </c>
      <c r="Q252" s="2">
        <v>1702.4801</v>
      </c>
      <c r="R252" s="2">
        <v>1.5869</v>
      </c>
      <c r="S252" s="2">
        <v>10.841324999999999</v>
      </c>
      <c r="T252" s="2" t="s">
        <v>346</v>
      </c>
      <c r="U252" s="2">
        <v>3.3071999999999999</v>
      </c>
    </row>
    <row r="253" spans="1:21" customFormat="1" x14ac:dyDescent="0.5">
      <c r="A253" s="1" t="s">
        <v>358</v>
      </c>
      <c r="B253" s="2">
        <v>47.655726000000001</v>
      </c>
      <c r="C253" s="2">
        <v>7.7519</v>
      </c>
      <c r="D253" s="2">
        <v>3598.4423569999999</v>
      </c>
      <c r="E253" s="5">
        <v>770.12974199999996</v>
      </c>
      <c r="F253" s="2">
        <v>57.125500000000002</v>
      </c>
      <c r="G253" s="2">
        <v>8.6068999999999996</v>
      </c>
      <c r="H253" s="2">
        <v>37.237400000000001</v>
      </c>
      <c r="I253" s="2">
        <v>6792.6345000000001</v>
      </c>
      <c r="J253" s="5">
        <v>3.6910910000000001</v>
      </c>
      <c r="K253" s="2">
        <v>39.066400000000002</v>
      </c>
      <c r="L253" s="2" t="s">
        <v>346</v>
      </c>
      <c r="M253" s="2">
        <v>4.2068969999999997</v>
      </c>
      <c r="N253" s="2">
        <v>133.78190000000001</v>
      </c>
      <c r="O253" s="2">
        <v>18.460899999999999</v>
      </c>
      <c r="P253" s="2">
        <v>0.79649999999999999</v>
      </c>
      <c r="Q253" s="2">
        <v>1691.1724999999999</v>
      </c>
      <c r="R253" s="2">
        <v>1.5598000000000001</v>
      </c>
      <c r="S253" s="2">
        <v>10.759535</v>
      </c>
      <c r="T253" s="2" t="s">
        <v>346</v>
      </c>
      <c r="U253" s="2">
        <v>3.2273000000000001</v>
      </c>
    </row>
    <row r="254" spans="1:21" customFormat="1" x14ac:dyDescent="0.5">
      <c r="A254" s="1" t="s">
        <v>359</v>
      </c>
      <c r="B254" s="2">
        <v>58.403125000000003</v>
      </c>
      <c r="C254" s="2">
        <v>7.6882000000000001</v>
      </c>
      <c r="D254" s="2">
        <v>3799.3856059999998</v>
      </c>
      <c r="E254" s="5">
        <v>794.08254899999997</v>
      </c>
      <c r="F254" s="2">
        <v>56.939100000000003</v>
      </c>
      <c r="G254" s="2">
        <v>8.5335999999999999</v>
      </c>
      <c r="H254" s="2">
        <v>37.084800000000001</v>
      </c>
      <c r="I254" s="2">
        <v>6835.5412999999999</v>
      </c>
      <c r="J254" s="5">
        <v>3.7599749999999998</v>
      </c>
      <c r="K254" s="2">
        <v>40.003300000000003</v>
      </c>
      <c r="L254" s="2" t="s">
        <v>346</v>
      </c>
      <c r="M254" s="2">
        <v>4.1723350000000003</v>
      </c>
      <c r="N254" s="2">
        <v>133.13480000000001</v>
      </c>
      <c r="O254" s="2">
        <v>18.230599999999999</v>
      </c>
      <c r="P254" s="2">
        <v>0.79</v>
      </c>
      <c r="Q254" s="2">
        <v>1677.2788</v>
      </c>
      <c r="R254" s="2">
        <v>1.5530999999999999</v>
      </c>
      <c r="S254" s="2">
        <v>10.680452000000001</v>
      </c>
      <c r="T254" s="2" t="s">
        <v>346</v>
      </c>
      <c r="U254" s="2">
        <v>3.1879</v>
      </c>
    </row>
    <row r="255" spans="1:21" customFormat="1" x14ac:dyDescent="0.5">
      <c r="A255" s="1" t="s">
        <v>360</v>
      </c>
      <c r="B255" s="2">
        <v>62.021639</v>
      </c>
      <c r="C255" s="2">
        <v>7.6036999999999999</v>
      </c>
      <c r="D255" s="2">
        <v>3739.3892810000002</v>
      </c>
      <c r="E255" s="5">
        <v>789.93180900000004</v>
      </c>
      <c r="F255" s="2">
        <v>56.845799999999997</v>
      </c>
      <c r="G255" s="2">
        <v>8.4835999999999991</v>
      </c>
      <c r="H255" s="2">
        <v>36.826999999999998</v>
      </c>
      <c r="I255" s="2">
        <v>6975.1509999999998</v>
      </c>
      <c r="J255" s="5">
        <v>3.6953260000000001</v>
      </c>
      <c r="K255" s="2">
        <v>40.375</v>
      </c>
      <c r="L255" s="2" t="s">
        <v>346</v>
      </c>
      <c r="M255" s="2">
        <v>4.1264640000000004</v>
      </c>
      <c r="N255" s="2">
        <v>132.17789999999999</v>
      </c>
      <c r="O255" s="2">
        <v>17.801600000000001</v>
      </c>
      <c r="P255" s="2">
        <v>0.78129999999999999</v>
      </c>
      <c r="Q255" s="2">
        <v>1658.8386</v>
      </c>
      <c r="R255" s="2">
        <v>1.5385</v>
      </c>
      <c r="S255" s="2">
        <v>10.661343</v>
      </c>
      <c r="T255" s="2" t="s">
        <v>346</v>
      </c>
      <c r="U255" s="2">
        <v>3.1482999999999999</v>
      </c>
    </row>
    <row r="256" spans="1:21" customFormat="1" x14ac:dyDescent="0.5">
      <c r="A256" s="1" t="s">
        <v>361</v>
      </c>
      <c r="B256" s="2">
        <v>64.591522999999995</v>
      </c>
      <c r="C256" s="2">
        <v>7.6372999999999998</v>
      </c>
      <c r="D256" s="2">
        <v>3799.14561</v>
      </c>
      <c r="E256" s="5">
        <v>797.65025200000002</v>
      </c>
      <c r="F256" s="2">
        <v>58.300699999999999</v>
      </c>
      <c r="G256" s="2">
        <v>8.5715000000000003</v>
      </c>
      <c r="H256" s="2">
        <v>37.140900000000002</v>
      </c>
      <c r="I256" s="2">
        <v>7117.1688999999997</v>
      </c>
      <c r="J256" s="5">
        <v>3.713746</v>
      </c>
      <c r="K256" s="2">
        <v>41.227499999999999</v>
      </c>
      <c r="L256" s="2" t="s">
        <v>346</v>
      </c>
      <c r="M256" s="2">
        <v>4.1447120000000002</v>
      </c>
      <c r="N256" s="2">
        <v>132.55619999999999</v>
      </c>
      <c r="O256" s="2">
        <v>18.0398</v>
      </c>
      <c r="P256" s="2">
        <v>0.78469999999999995</v>
      </c>
      <c r="Q256" s="2">
        <v>1666.1741999999999</v>
      </c>
      <c r="R256" s="2">
        <v>1.5718000000000001</v>
      </c>
      <c r="S256" s="2">
        <v>10.674341999999999</v>
      </c>
      <c r="T256" s="2" t="s">
        <v>346</v>
      </c>
      <c r="U256" s="2">
        <v>3.1442999999999999</v>
      </c>
    </row>
    <row r="257" spans="1:21" customFormat="1" x14ac:dyDescent="0.5">
      <c r="A257" s="1" t="s">
        <v>362</v>
      </c>
      <c r="B257" s="2">
        <v>65.913736999999998</v>
      </c>
      <c r="C257" s="2">
        <v>7.6361999999999997</v>
      </c>
      <c r="D257" s="2">
        <v>3751.4764740000001</v>
      </c>
      <c r="E257" s="5">
        <v>851.673498</v>
      </c>
      <c r="F257" s="2">
        <v>58.425400000000003</v>
      </c>
      <c r="G257" s="2">
        <v>8.5119000000000007</v>
      </c>
      <c r="H257" s="2">
        <v>37.256799999999998</v>
      </c>
      <c r="I257" s="2">
        <v>7133.2665999999999</v>
      </c>
      <c r="J257" s="5">
        <v>3.7271709999999998</v>
      </c>
      <c r="K257" s="2">
        <v>41.5946</v>
      </c>
      <c r="L257" s="2" t="s">
        <v>346</v>
      </c>
      <c r="M257" s="2">
        <v>4.144107</v>
      </c>
      <c r="N257" s="2">
        <v>132.49940000000001</v>
      </c>
      <c r="O257" s="2">
        <v>17.651900000000001</v>
      </c>
      <c r="P257" s="2">
        <v>0.78459999999999996</v>
      </c>
      <c r="Q257" s="2">
        <v>1665.9311</v>
      </c>
      <c r="R257" s="2">
        <v>1.5441</v>
      </c>
      <c r="S257" s="2">
        <v>10.665004</v>
      </c>
      <c r="T257" s="2" t="s">
        <v>346</v>
      </c>
      <c r="U257" s="2">
        <v>3.1518000000000002</v>
      </c>
    </row>
    <row r="258" spans="1:21" customFormat="1" x14ac:dyDescent="0.5">
      <c r="A258" s="1" t="s">
        <v>363</v>
      </c>
      <c r="B258" s="2">
        <v>66.430425</v>
      </c>
      <c r="C258" s="2">
        <v>7.6794000000000002</v>
      </c>
      <c r="D258" s="2">
        <v>3769.737807</v>
      </c>
      <c r="E258" s="5">
        <v>857.11254799999995</v>
      </c>
      <c r="F258" s="2">
        <v>58.801499999999997</v>
      </c>
      <c r="G258" s="2">
        <v>8.5432000000000006</v>
      </c>
      <c r="H258" s="2">
        <v>37.560099999999998</v>
      </c>
      <c r="I258" s="2">
        <v>7167.7431999999999</v>
      </c>
      <c r="J258" s="5">
        <v>3.7282709999999999</v>
      </c>
      <c r="K258" s="2">
        <v>41.77</v>
      </c>
      <c r="L258" s="2" t="s">
        <v>346</v>
      </c>
      <c r="M258" s="2">
        <v>4.1675440000000004</v>
      </c>
      <c r="N258" s="2">
        <v>132.95339999999999</v>
      </c>
      <c r="O258" s="2">
        <v>18.008099999999999</v>
      </c>
      <c r="P258" s="2">
        <v>0.78910000000000002</v>
      </c>
      <c r="Q258" s="2">
        <v>1675.3525999999999</v>
      </c>
      <c r="R258" s="2">
        <v>1.5748</v>
      </c>
      <c r="S258" s="2">
        <v>10.694948</v>
      </c>
      <c r="T258" s="2" t="s">
        <v>346</v>
      </c>
      <c r="U258" s="2">
        <v>3.1547000000000001</v>
      </c>
    </row>
    <row r="259" spans="1:21" customFormat="1" x14ac:dyDescent="0.5">
      <c r="A259" s="1" t="s">
        <v>364</v>
      </c>
      <c r="B259" s="2">
        <v>66.502611999999999</v>
      </c>
      <c r="C259" s="2">
        <v>7.6703999999999999</v>
      </c>
      <c r="D259" s="2">
        <v>3682.2131800000002</v>
      </c>
      <c r="E259" s="5">
        <v>860.39905199999998</v>
      </c>
      <c r="F259" s="2">
        <v>58.952500000000001</v>
      </c>
      <c r="G259" s="2">
        <v>8.5366</v>
      </c>
      <c r="H259" s="2">
        <v>37.610100000000003</v>
      </c>
      <c r="I259" s="2">
        <v>7232.7303000000002</v>
      </c>
      <c r="J259" s="5">
        <v>3.693495</v>
      </c>
      <c r="K259" s="2">
        <v>41.465499999999999</v>
      </c>
      <c r="L259" s="2" t="s">
        <v>346</v>
      </c>
      <c r="M259" s="2">
        <v>4.162636</v>
      </c>
      <c r="N259" s="2">
        <v>132.80520000000001</v>
      </c>
      <c r="O259" s="2">
        <v>17.494199999999999</v>
      </c>
      <c r="P259" s="2">
        <v>0.78810000000000002</v>
      </c>
      <c r="Q259" s="2">
        <v>1673.3797999999999</v>
      </c>
      <c r="R259" s="2">
        <v>1.5475000000000001</v>
      </c>
      <c r="S259" s="2">
        <v>10.66691</v>
      </c>
      <c r="T259" s="2" t="s">
        <v>346</v>
      </c>
      <c r="U259" s="2">
        <v>3.1280000000000001</v>
      </c>
    </row>
    <row r="260" spans="1:21" customFormat="1" x14ac:dyDescent="0.5">
      <c r="A260" s="1" t="s">
        <v>365</v>
      </c>
      <c r="B260" s="2">
        <v>66.799777000000006</v>
      </c>
      <c r="C260" s="2">
        <v>7.5354000000000001</v>
      </c>
      <c r="D260" s="2">
        <v>3718.4052660000002</v>
      </c>
      <c r="E260" s="5">
        <v>868.66130699999997</v>
      </c>
      <c r="F260" s="2">
        <v>58.200200000000002</v>
      </c>
      <c r="G260" s="2">
        <v>8.3392999999999997</v>
      </c>
      <c r="H260" s="2">
        <v>37.037799999999997</v>
      </c>
      <c r="I260" s="2">
        <v>7111.6396000000004</v>
      </c>
      <c r="J260" s="5">
        <v>3.6971769999999999</v>
      </c>
      <c r="K260" s="2">
        <v>41.487200000000001</v>
      </c>
      <c r="L260" s="2" t="s">
        <v>346</v>
      </c>
      <c r="M260" s="2">
        <v>4.0893750000000004</v>
      </c>
      <c r="N260" s="2">
        <v>131.43510000000001</v>
      </c>
      <c r="O260" s="2">
        <v>17.1554</v>
      </c>
      <c r="P260" s="2">
        <v>0.77429999999999999</v>
      </c>
      <c r="Q260" s="2">
        <v>1643.9287999999999</v>
      </c>
      <c r="R260" s="2">
        <v>1.55</v>
      </c>
      <c r="S260" s="2">
        <v>10.556694</v>
      </c>
      <c r="T260" s="2" t="s">
        <v>346</v>
      </c>
      <c r="U260" s="2">
        <v>3.1187999999999998</v>
      </c>
    </row>
    <row r="261" spans="1:21" customFormat="1" x14ac:dyDescent="0.5">
      <c r="A261" s="1" t="s">
        <v>366</v>
      </c>
      <c r="B261" s="2">
        <v>69.726140000000001</v>
      </c>
      <c r="C261" s="2">
        <v>7.6448</v>
      </c>
      <c r="D261" s="2">
        <v>4281.5477469999996</v>
      </c>
      <c r="E261" s="5">
        <v>928.635403</v>
      </c>
      <c r="F261" s="2">
        <v>59.453499999999998</v>
      </c>
      <c r="G261" s="2">
        <v>8.5082000000000004</v>
      </c>
      <c r="H261" s="2">
        <v>37.666899999999998</v>
      </c>
      <c r="I261" s="2">
        <v>7276.0231999999996</v>
      </c>
      <c r="J261" s="5">
        <v>3.862638</v>
      </c>
      <c r="K261" s="2">
        <v>47.952100000000002</v>
      </c>
      <c r="L261" s="2" t="s">
        <v>346</v>
      </c>
      <c r="M261" s="2">
        <v>4.1487780000000001</v>
      </c>
      <c r="N261" s="2">
        <v>134.25569999999999</v>
      </c>
      <c r="O261" s="2">
        <v>17.162500000000001</v>
      </c>
      <c r="P261" s="2">
        <v>0.78549999999999998</v>
      </c>
      <c r="Q261" s="2">
        <v>1667.8089</v>
      </c>
      <c r="R261" s="2">
        <v>1.5403</v>
      </c>
      <c r="S261" s="2">
        <v>10.713915999999999</v>
      </c>
      <c r="T261" s="2" t="s">
        <v>346</v>
      </c>
      <c r="U261" s="2">
        <v>3.1713</v>
      </c>
    </row>
    <row r="262" spans="1:21" customFormat="1" x14ac:dyDescent="0.5">
      <c r="A262" s="1" t="s">
        <v>367</v>
      </c>
      <c r="B262" s="2">
        <v>71.323471999999995</v>
      </c>
      <c r="C262" s="2">
        <v>7.5056000000000003</v>
      </c>
      <c r="D262" s="2">
        <v>4330.1626930000002</v>
      </c>
      <c r="E262" s="5">
        <v>926.93178799999998</v>
      </c>
      <c r="F262" s="2">
        <v>58.873600000000003</v>
      </c>
      <c r="G262" s="2">
        <v>8.3732000000000006</v>
      </c>
      <c r="H262" s="2">
        <v>37.072099999999999</v>
      </c>
      <c r="I262" s="2">
        <v>7071.2952999999998</v>
      </c>
      <c r="J262" s="5">
        <v>3.690331</v>
      </c>
      <c r="K262" s="2">
        <v>47.130499999999998</v>
      </c>
      <c r="L262" s="2" t="s">
        <v>346</v>
      </c>
      <c r="M262" s="2">
        <v>4.073213</v>
      </c>
      <c r="N262" s="2">
        <v>138.596</v>
      </c>
      <c r="O262" s="2">
        <v>17.073899999999998</v>
      </c>
      <c r="P262" s="2">
        <v>0.7712</v>
      </c>
      <c r="Q262" s="2">
        <v>1637.4313999999999</v>
      </c>
      <c r="R262" s="2">
        <v>1.5345</v>
      </c>
      <c r="S262" s="2">
        <v>11.002369</v>
      </c>
      <c r="T262" s="2" t="s">
        <v>346</v>
      </c>
      <c r="U262" s="2">
        <v>3.1532</v>
      </c>
    </row>
    <row r="263" spans="1:21" customFormat="1" x14ac:dyDescent="0.5">
      <c r="A263" s="1" t="s">
        <v>368</v>
      </c>
      <c r="B263" s="2">
        <v>73.727467000000004</v>
      </c>
      <c r="C263" s="2">
        <v>7.5331999999999999</v>
      </c>
      <c r="D263" s="2">
        <v>4211.7576129999998</v>
      </c>
      <c r="E263" s="5">
        <v>896.89217099999996</v>
      </c>
      <c r="F263" s="2">
        <v>60.386899999999997</v>
      </c>
      <c r="G263" s="2">
        <v>8.3889999999999993</v>
      </c>
      <c r="H263" s="2">
        <v>37.300199999999997</v>
      </c>
      <c r="I263" s="2">
        <v>7183.8440000000001</v>
      </c>
      <c r="J263" s="5">
        <v>3.7296860000000001</v>
      </c>
      <c r="K263" s="2">
        <v>47.347000000000001</v>
      </c>
      <c r="L263" s="2" t="s">
        <v>346</v>
      </c>
      <c r="M263" s="2">
        <v>4.0881939999999997</v>
      </c>
      <c r="N263" s="2">
        <v>140.29849999999999</v>
      </c>
      <c r="O263" s="2">
        <v>17.509799999999998</v>
      </c>
      <c r="P263" s="2">
        <v>0.77400000000000002</v>
      </c>
      <c r="Q263" s="2">
        <v>1643.4539</v>
      </c>
      <c r="R263" s="2">
        <v>1.5741000000000001</v>
      </c>
      <c r="S263" s="2">
        <v>10.741478000000001</v>
      </c>
      <c r="T263" s="2" t="s">
        <v>346</v>
      </c>
      <c r="U263" s="2">
        <v>3.1629999999999998</v>
      </c>
    </row>
    <row r="264" spans="1:21" customFormat="1" x14ac:dyDescent="0.5">
      <c r="A264" s="1" t="s">
        <v>369</v>
      </c>
      <c r="B264" s="2">
        <v>78.154579999999996</v>
      </c>
      <c r="C264" s="2">
        <v>7.7769000000000004</v>
      </c>
      <c r="D264" s="2">
        <v>4162.199071</v>
      </c>
      <c r="E264" s="5">
        <v>893.29724599999997</v>
      </c>
      <c r="F264" s="2">
        <v>65.203800000000001</v>
      </c>
      <c r="G264" s="2">
        <v>8.6638000000000002</v>
      </c>
      <c r="H264" s="2">
        <v>38.601999999999997</v>
      </c>
      <c r="I264" s="2">
        <v>7550.1332000000002</v>
      </c>
      <c r="J264" s="5">
        <v>3.9055309999999999</v>
      </c>
      <c r="K264" s="2">
        <v>47.917900000000003</v>
      </c>
      <c r="L264" s="2" t="s">
        <v>346</v>
      </c>
      <c r="M264" s="2">
        <v>4.220472</v>
      </c>
      <c r="N264" s="2">
        <v>144.89349999999999</v>
      </c>
      <c r="O264" s="2">
        <v>18.030799999999999</v>
      </c>
      <c r="P264" s="2">
        <v>0.79910000000000003</v>
      </c>
      <c r="Q264" s="2">
        <v>1696.6296</v>
      </c>
      <c r="R264" s="2">
        <v>1.5751999999999999</v>
      </c>
      <c r="S264" s="2">
        <v>10.894971</v>
      </c>
      <c r="T264" s="2" t="s">
        <v>346</v>
      </c>
      <c r="U264" s="2">
        <v>3.2176999999999998</v>
      </c>
    </row>
    <row r="265" spans="1:21" customFormat="1" x14ac:dyDescent="0.5">
      <c r="A265" s="1" t="s">
        <v>370</v>
      </c>
      <c r="B265" s="2">
        <v>81.825113999999999</v>
      </c>
      <c r="C265" s="2">
        <v>7.9211999999999998</v>
      </c>
      <c r="D265" s="2">
        <v>4197.1545070000002</v>
      </c>
      <c r="E265" s="5">
        <v>897.50329499999998</v>
      </c>
      <c r="F265" s="2">
        <v>66.883399999999995</v>
      </c>
      <c r="G265" s="2">
        <v>8.8221000000000007</v>
      </c>
      <c r="H265" s="2">
        <v>39.415199999999999</v>
      </c>
      <c r="I265" s="2">
        <v>7910.5767999999998</v>
      </c>
      <c r="J265" s="5">
        <v>4.03118</v>
      </c>
      <c r="K265" s="2">
        <v>49.349600000000002</v>
      </c>
      <c r="L265" s="2" t="s">
        <v>346</v>
      </c>
      <c r="M265" s="2">
        <v>4.2987719999999996</v>
      </c>
      <c r="N265" s="2">
        <v>147.2313</v>
      </c>
      <c r="O265" s="2">
        <v>18.889399999999998</v>
      </c>
      <c r="P265" s="2">
        <v>0.81389999999999996</v>
      </c>
      <c r="Q265" s="2">
        <v>1728.1061999999999</v>
      </c>
      <c r="R265" s="2">
        <v>1.6508</v>
      </c>
      <c r="S265" s="2">
        <v>10.962752</v>
      </c>
      <c r="T265" s="2" t="s">
        <v>346</v>
      </c>
      <c r="U265" s="2">
        <v>3.2261000000000002</v>
      </c>
    </row>
    <row r="266" spans="1:21" customFormat="1" x14ac:dyDescent="0.5">
      <c r="A266" s="1" t="s">
        <v>371</v>
      </c>
      <c r="B266" s="2">
        <v>86.579291999999995</v>
      </c>
      <c r="C266" s="2">
        <v>8.1731999999999996</v>
      </c>
      <c r="D266" s="2">
        <v>4480.5995119999998</v>
      </c>
      <c r="E266" s="5">
        <v>928.10557400000005</v>
      </c>
      <c r="F266" s="2">
        <v>69.173900000000003</v>
      </c>
      <c r="G266" s="2">
        <v>9.1134000000000004</v>
      </c>
      <c r="H266" s="2">
        <v>40.771099999999997</v>
      </c>
      <c r="I266" s="2">
        <v>8221.6489999999994</v>
      </c>
      <c r="J266" s="5">
        <v>4.2154489999999996</v>
      </c>
      <c r="K266" s="2">
        <v>50.467500000000001</v>
      </c>
      <c r="L266" s="2" t="s">
        <v>346</v>
      </c>
      <c r="M266" s="2">
        <v>4.4355359999999999</v>
      </c>
      <c r="N266" s="2">
        <v>151.8005</v>
      </c>
      <c r="O266" s="2">
        <v>18.961099999999998</v>
      </c>
      <c r="P266" s="2">
        <v>0.83979999999999999</v>
      </c>
      <c r="Q266" s="2">
        <v>1783.0853999999999</v>
      </c>
      <c r="R266" s="2">
        <v>1.6394</v>
      </c>
      <c r="S266" s="2">
        <v>10.922273000000001</v>
      </c>
      <c r="T266" s="2" t="s">
        <v>346</v>
      </c>
      <c r="U266" s="2">
        <v>3.2443</v>
      </c>
    </row>
    <row r="267" spans="1:21" customFormat="1" x14ac:dyDescent="0.5">
      <c r="A267" s="1" t="s">
        <v>372</v>
      </c>
      <c r="B267" s="2">
        <v>88.565237999999994</v>
      </c>
      <c r="C267" s="2">
        <v>8.1486000000000001</v>
      </c>
      <c r="D267" s="2">
        <v>4430.4676470000004</v>
      </c>
      <c r="E267" s="5">
        <v>911.98643900000002</v>
      </c>
      <c r="F267" s="2">
        <v>68.951899999999995</v>
      </c>
      <c r="G267" s="2">
        <v>9.1516000000000002</v>
      </c>
      <c r="H267" s="2">
        <v>40.7483</v>
      </c>
      <c r="I267" s="2">
        <v>8236.9292000000005</v>
      </c>
      <c r="J267" s="5">
        <v>4.192094</v>
      </c>
      <c r="K267" s="2">
        <v>50.106900000000003</v>
      </c>
      <c r="L267" s="2" t="s">
        <v>346</v>
      </c>
      <c r="M267" s="2">
        <v>4.4221529999999998</v>
      </c>
      <c r="N267" s="2">
        <v>151.88560000000001</v>
      </c>
      <c r="O267" s="2">
        <v>18.408899999999999</v>
      </c>
      <c r="P267" s="2">
        <v>0.83730000000000004</v>
      </c>
      <c r="Q267" s="2">
        <v>1777.7057</v>
      </c>
      <c r="R267" s="2">
        <v>1.6063000000000001</v>
      </c>
      <c r="S267" s="2">
        <v>10.869417</v>
      </c>
      <c r="T267" s="2" t="s">
        <v>346</v>
      </c>
      <c r="U267" s="2">
        <v>3.2480000000000002</v>
      </c>
    </row>
    <row r="268" spans="1:21" customFormat="1" x14ac:dyDescent="0.5">
      <c r="A268" s="1" t="s">
        <v>373</v>
      </c>
      <c r="B268" s="2">
        <v>91.239171999999996</v>
      </c>
      <c r="C268" s="2">
        <v>8.1366999999999994</v>
      </c>
      <c r="D268" s="2">
        <v>4513.4972809999999</v>
      </c>
      <c r="E268" s="5">
        <v>928.198893</v>
      </c>
      <c r="F268" s="2">
        <v>68.868099999999998</v>
      </c>
      <c r="G268" s="2">
        <v>9.1623999999999999</v>
      </c>
      <c r="H268" s="2">
        <v>40.789099999999998</v>
      </c>
      <c r="I268" s="2">
        <v>8264.5714000000007</v>
      </c>
      <c r="J268" s="5">
        <v>4.2339000000000002</v>
      </c>
      <c r="K268" s="2">
        <v>50.265300000000003</v>
      </c>
      <c r="L268" s="2" t="s">
        <v>346</v>
      </c>
      <c r="M268" s="2">
        <v>4.4156930000000001</v>
      </c>
      <c r="N268" s="2">
        <v>151.7869</v>
      </c>
      <c r="O268" s="2">
        <v>18.314399999999999</v>
      </c>
      <c r="P268" s="2">
        <v>0.83599999999999997</v>
      </c>
      <c r="Q268" s="2">
        <v>1775.1087</v>
      </c>
      <c r="R268" s="2">
        <v>1.6022000000000001</v>
      </c>
      <c r="S268" s="2">
        <v>10.838819000000001</v>
      </c>
      <c r="T268" s="2" t="s">
        <v>346</v>
      </c>
      <c r="U268" s="2">
        <v>3.2496</v>
      </c>
    </row>
    <row r="269" spans="1:21" customFormat="1" x14ac:dyDescent="0.5">
      <c r="A269" s="1" t="s">
        <v>374</v>
      </c>
      <c r="B269" s="2">
        <v>94.515134000000003</v>
      </c>
      <c r="C269" s="2">
        <v>8.18</v>
      </c>
      <c r="D269" s="2">
        <v>4365.5400410000002</v>
      </c>
      <c r="E269" s="5">
        <v>902.35363600000005</v>
      </c>
      <c r="F269" s="2">
        <v>69.189700000000002</v>
      </c>
      <c r="G269" s="2">
        <v>9.2189999999999994</v>
      </c>
      <c r="H269" s="2">
        <v>41.107599999999998</v>
      </c>
      <c r="I269" s="2">
        <v>8324.2111000000004</v>
      </c>
      <c r="J269" s="5">
        <v>4.2708339999999998</v>
      </c>
      <c r="K269" s="2">
        <v>50.581600000000002</v>
      </c>
      <c r="L269" s="2" t="s">
        <v>346</v>
      </c>
      <c r="M269" s="2">
        <v>4.4392139999999998</v>
      </c>
      <c r="N269" s="2">
        <v>152.3486</v>
      </c>
      <c r="O269" s="2">
        <v>18.708200000000001</v>
      </c>
      <c r="P269" s="2">
        <v>0.84050000000000002</v>
      </c>
      <c r="Q269" s="2">
        <v>1784.5641000000001</v>
      </c>
      <c r="R269" s="2">
        <v>1.6333</v>
      </c>
      <c r="S269" s="2">
        <v>10.816817</v>
      </c>
      <c r="T269" s="2" t="s">
        <v>346</v>
      </c>
      <c r="U269" s="2">
        <v>3.2517999999999998</v>
      </c>
    </row>
    <row r="270" spans="1:21" customFormat="1" x14ac:dyDescent="0.5">
      <c r="A270" s="1" t="s">
        <v>375</v>
      </c>
      <c r="B270" s="2">
        <v>100.44686</v>
      </c>
      <c r="C270" s="2">
        <v>8.4093</v>
      </c>
      <c r="D270" s="2">
        <v>4217.7468079999999</v>
      </c>
      <c r="E270" s="5">
        <v>901.03671899999995</v>
      </c>
      <c r="F270" s="2">
        <v>70.968299999999999</v>
      </c>
      <c r="G270" s="2">
        <v>9.4923000000000002</v>
      </c>
      <c r="H270" s="2">
        <v>42.345999999999997</v>
      </c>
      <c r="I270" s="2">
        <v>8450.6358</v>
      </c>
      <c r="J270" s="5">
        <v>4.3842889999999999</v>
      </c>
      <c r="K270" s="2">
        <v>51.594799999999999</v>
      </c>
      <c r="L270" s="2" t="s">
        <v>346</v>
      </c>
      <c r="M270" s="2">
        <v>4.5636479999999997</v>
      </c>
      <c r="N270" s="2">
        <v>160.1489</v>
      </c>
      <c r="O270" s="2">
        <v>19.197500000000002</v>
      </c>
      <c r="P270" s="2">
        <v>0.86409999999999998</v>
      </c>
      <c r="Q270" s="2">
        <v>1834.5863999999999</v>
      </c>
      <c r="R270" s="2">
        <v>1.6486000000000001</v>
      </c>
      <c r="S270" s="2">
        <v>10.914149</v>
      </c>
      <c r="T270" s="2" t="s">
        <v>346</v>
      </c>
      <c r="U270" s="2">
        <v>3.3132000000000001</v>
      </c>
    </row>
    <row r="271" spans="1:21" customFormat="1" x14ac:dyDescent="0.5">
      <c r="A271" s="1" t="s">
        <v>376</v>
      </c>
      <c r="B271" s="2">
        <v>104.51778299999999</v>
      </c>
      <c r="C271" s="2">
        <v>8.4100999999999999</v>
      </c>
      <c r="D271" s="2">
        <v>4255.0184129999998</v>
      </c>
      <c r="E271" s="5">
        <v>879.89224100000001</v>
      </c>
      <c r="F271" s="2">
        <v>70.963999999999999</v>
      </c>
      <c r="G271" s="2">
        <v>9.4794999999999998</v>
      </c>
      <c r="H271" s="2">
        <v>42.421100000000003</v>
      </c>
      <c r="I271" s="2">
        <v>8401.3253999999997</v>
      </c>
      <c r="J271" s="5">
        <v>4.411416</v>
      </c>
      <c r="K271" s="2">
        <v>51.4681</v>
      </c>
      <c r="L271" s="2" t="s">
        <v>346</v>
      </c>
      <c r="M271" s="2">
        <v>4.5640689999999999</v>
      </c>
      <c r="N271" s="2">
        <v>161.4752</v>
      </c>
      <c r="O271" s="2">
        <v>18.996400000000001</v>
      </c>
      <c r="P271" s="2">
        <v>0.86409999999999998</v>
      </c>
      <c r="Q271" s="2">
        <v>1834.7556</v>
      </c>
      <c r="R271" s="2">
        <v>5.4104000000000001</v>
      </c>
      <c r="S271" s="2">
        <v>10.832293999999999</v>
      </c>
      <c r="T271" s="2" t="s">
        <v>346</v>
      </c>
      <c r="U271" s="2">
        <v>3.2978999999999998</v>
      </c>
    </row>
    <row r="272" spans="1:21" customFormat="1" x14ac:dyDescent="0.5">
      <c r="A272" s="1" t="s">
        <v>377</v>
      </c>
      <c r="B272" s="2">
        <v>107.129566</v>
      </c>
      <c r="C272" s="2">
        <v>8.3596000000000004</v>
      </c>
      <c r="D272" s="2">
        <v>4300.0412820000001</v>
      </c>
      <c r="E272" s="5">
        <v>874.11402599999997</v>
      </c>
      <c r="F272" s="2">
        <v>70.284899999999993</v>
      </c>
      <c r="G272" s="2">
        <v>9.3644999999999996</v>
      </c>
      <c r="H272" s="2">
        <v>42.234400000000001</v>
      </c>
      <c r="I272" s="2">
        <v>8133.6021000000001</v>
      </c>
      <c r="J272" s="5">
        <v>4.4100169999999999</v>
      </c>
      <c r="K272" s="2">
        <v>51.694200000000002</v>
      </c>
      <c r="L272" s="2" t="s">
        <v>346</v>
      </c>
      <c r="M272" s="2">
        <v>4.5367129999999998</v>
      </c>
      <c r="N272" s="2">
        <v>160.82429999999999</v>
      </c>
      <c r="O272" s="2">
        <v>18.927499999999998</v>
      </c>
      <c r="P272" s="2">
        <v>0.85899999999999999</v>
      </c>
      <c r="Q272" s="2">
        <v>1823.7583999999999</v>
      </c>
      <c r="R272" s="2">
        <v>5.4116999999999997</v>
      </c>
      <c r="S272" s="2">
        <v>10.817071</v>
      </c>
      <c r="T272" s="2" t="s">
        <v>346</v>
      </c>
      <c r="U272" s="2">
        <v>3.2946</v>
      </c>
    </row>
    <row r="273" spans="1:21" customFormat="1" x14ac:dyDescent="0.5">
      <c r="A273" s="1" t="s">
        <v>378</v>
      </c>
      <c r="B273" s="2">
        <v>108.24111499999999</v>
      </c>
      <c r="C273" s="2">
        <v>8.2223000000000006</v>
      </c>
      <c r="D273" s="2">
        <v>4303.8986699999996</v>
      </c>
      <c r="E273" s="5">
        <v>864.30932299999995</v>
      </c>
      <c r="F273" s="2">
        <v>68.362399999999994</v>
      </c>
      <c r="G273" s="2">
        <v>9.1859000000000002</v>
      </c>
      <c r="H273" s="2">
        <v>41.606900000000003</v>
      </c>
      <c r="I273" s="2">
        <v>7781.7034999999996</v>
      </c>
      <c r="J273" s="5">
        <v>4.412363</v>
      </c>
      <c r="K273" s="2">
        <v>52.670099999999998</v>
      </c>
      <c r="L273" s="2" t="s">
        <v>346</v>
      </c>
      <c r="M273" s="2">
        <v>4.4621579999999996</v>
      </c>
      <c r="N273" s="2">
        <v>159.13470000000001</v>
      </c>
      <c r="O273" s="2">
        <v>18.365100000000002</v>
      </c>
      <c r="P273" s="2">
        <v>0.8448</v>
      </c>
      <c r="Q273" s="2">
        <v>1793.7873999999999</v>
      </c>
      <c r="R273" s="2">
        <v>5.2811000000000003</v>
      </c>
      <c r="S273" s="2">
        <v>10.71176</v>
      </c>
      <c r="T273" s="2" t="s">
        <v>346</v>
      </c>
      <c r="U273" s="2">
        <v>3.2951999999999999</v>
      </c>
    </row>
    <row r="274" spans="1:21" customFormat="1" x14ac:dyDescent="0.5">
      <c r="A274" s="1" t="s">
        <v>379</v>
      </c>
      <c r="B274" s="2">
        <v>111.122923</v>
      </c>
      <c r="C274" s="2">
        <v>8.2775999999999996</v>
      </c>
      <c r="D274" s="2">
        <v>4374.5912269999999</v>
      </c>
      <c r="E274" s="5">
        <v>847.934889</v>
      </c>
      <c r="F274" s="2">
        <v>68.396500000000003</v>
      </c>
      <c r="G274" s="2">
        <v>9.2425999999999995</v>
      </c>
      <c r="H274" s="2">
        <v>41.956099999999999</v>
      </c>
      <c r="I274" s="2">
        <v>7679.5</v>
      </c>
      <c r="J274" s="5">
        <v>4.4316079999999998</v>
      </c>
      <c r="K274" s="2">
        <v>52.815899999999999</v>
      </c>
      <c r="L274" s="2" t="s">
        <v>346</v>
      </c>
      <c r="M274" s="2">
        <v>4.4921629999999997</v>
      </c>
      <c r="N274" s="2">
        <v>159.26740000000001</v>
      </c>
      <c r="O274" s="2">
        <v>18.895399999999999</v>
      </c>
      <c r="P274" s="2">
        <v>0.85050000000000003</v>
      </c>
      <c r="Q274" s="2">
        <v>1805.8493000000001</v>
      </c>
      <c r="R274" s="2">
        <v>5.4387999999999996</v>
      </c>
      <c r="S274" s="2">
        <v>10.727121</v>
      </c>
      <c r="T274" s="2" t="s">
        <v>346</v>
      </c>
      <c r="U274" s="2">
        <v>3.3182</v>
      </c>
    </row>
    <row r="275" spans="1:21" customFormat="1" x14ac:dyDescent="0.5">
      <c r="A275" s="1" t="s">
        <v>380</v>
      </c>
      <c r="B275" s="2">
        <v>114.17660600000001</v>
      </c>
      <c r="C275" s="2">
        <v>8.3927999999999994</v>
      </c>
      <c r="D275" s="2">
        <v>4547.1616759999997</v>
      </c>
      <c r="E275" s="5">
        <v>863.02321400000005</v>
      </c>
      <c r="F275" s="2">
        <v>69.280500000000004</v>
      </c>
      <c r="G275" s="2">
        <v>9.3687000000000005</v>
      </c>
      <c r="H275" s="2">
        <v>42.610700000000001</v>
      </c>
      <c r="I275" s="2">
        <v>8158.8654999999999</v>
      </c>
      <c r="J275" s="5">
        <v>4.5833149999999998</v>
      </c>
      <c r="K275" s="2">
        <v>53.4238</v>
      </c>
      <c r="L275" s="2" t="s">
        <v>346</v>
      </c>
      <c r="M275" s="2">
        <v>4.5547139999999997</v>
      </c>
      <c r="N275" s="2">
        <v>162.1866</v>
      </c>
      <c r="O275" s="2">
        <v>19.0534</v>
      </c>
      <c r="P275" s="2">
        <v>0.86240000000000006</v>
      </c>
      <c r="Q275" s="2">
        <v>1830.9951000000001</v>
      </c>
      <c r="R275" s="2">
        <v>5.4478999999999997</v>
      </c>
      <c r="S275" s="2">
        <v>10.748282</v>
      </c>
      <c r="T275" s="2" t="s">
        <v>346</v>
      </c>
      <c r="U275" s="2">
        <v>3.3332999999999999</v>
      </c>
    </row>
    <row r="276" spans="1:21" customFormat="1" x14ac:dyDescent="0.5">
      <c r="A276" s="1" t="s">
        <v>381</v>
      </c>
      <c r="B276" s="2">
        <v>114.63325</v>
      </c>
      <c r="C276" s="2">
        <v>8.3245000000000005</v>
      </c>
      <c r="D276" s="2">
        <v>4448.9918770000004</v>
      </c>
      <c r="E276" s="5">
        <v>875.274764</v>
      </c>
      <c r="F276" s="2">
        <v>68.819999999999993</v>
      </c>
      <c r="G276" s="2">
        <v>9.3219999999999992</v>
      </c>
      <c r="H276" s="2">
        <v>42.334099999999999</v>
      </c>
      <c r="I276" s="2">
        <v>8125.1746999999996</v>
      </c>
      <c r="J276" s="5">
        <v>4.7107849999999996</v>
      </c>
      <c r="K276" s="2">
        <v>52.530099999999997</v>
      </c>
      <c r="L276" s="2" t="s">
        <v>346</v>
      </c>
      <c r="M276" s="2">
        <v>4.5176590000000001</v>
      </c>
      <c r="N276" s="2">
        <v>161.43379999999999</v>
      </c>
      <c r="O276" s="2">
        <v>18.558399999999999</v>
      </c>
      <c r="P276" s="2">
        <v>0.85529999999999995</v>
      </c>
      <c r="Q276" s="2">
        <v>1816.0989999999999</v>
      </c>
      <c r="R276" s="2">
        <v>5.3244999999999996</v>
      </c>
      <c r="S276" s="2">
        <v>10.679236</v>
      </c>
      <c r="T276" s="2" t="s">
        <v>346</v>
      </c>
      <c r="U276" s="2">
        <v>3.3637000000000001</v>
      </c>
    </row>
    <row r="277" spans="1:21" customFormat="1" x14ac:dyDescent="0.5">
      <c r="A277" s="1" t="s">
        <v>382</v>
      </c>
      <c r="B277" s="2">
        <v>113.648813</v>
      </c>
      <c r="C277" s="2">
        <v>8.1689000000000007</v>
      </c>
      <c r="D277" s="2">
        <v>4529.5408010000001</v>
      </c>
      <c r="E277" s="5">
        <v>888.90117499999997</v>
      </c>
      <c r="F277" s="2">
        <v>67.615600000000001</v>
      </c>
      <c r="G277" s="2">
        <v>9.1548999999999996</v>
      </c>
      <c r="H277" s="2">
        <v>41.6113</v>
      </c>
      <c r="I277" s="2">
        <v>8095.7901000000002</v>
      </c>
      <c r="J277" s="5">
        <v>4.6578549999999996</v>
      </c>
      <c r="K277" s="2">
        <v>51.818600000000004</v>
      </c>
      <c r="L277" s="2" t="s">
        <v>346</v>
      </c>
      <c r="M277" s="2">
        <v>4.4331820000000004</v>
      </c>
      <c r="N277" s="2">
        <v>159.45869999999999</v>
      </c>
      <c r="O277" s="2">
        <v>18.597999999999999</v>
      </c>
      <c r="P277" s="2">
        <v>0.83930000000000005</v>
      </c>
      <c r="Q277" s="2">
        <v>1782.1391000000001</v>
      </c>
      <c r="R277" s="2">
        <v>5.3693</v>
      </c>
      <c r="S277" s="2">
        <v>10.575575000000001</v>
      </c>
      <c r="T277" s="2" t="s">
        <v>346</v>
      </c>
      <c r="U277" s="2">
        <v>3.3210999999999999</v>
      </c>
    </row>
    <row r="278" spans="1:21" customFormat="1" x14ac:dyDescent="0.5">
      <c r="A278" s="1" t="s">
        <v>383</v>
      </c>
      <c r="B278" s="2">
        <v>114.31730399999999</v>
      </c>
      <c r="C278" s="2">
        <v>8.1342999999999996</v>
      </c>
      <c r="D278" s="2">
        <v>4579.8841339999999</v>
      </c>
      <c r="E278" s="5">
        <v>918.07173999999998</v>
      </c>
      <c r="F278" s="2">
        <v>67.317599999999999</v>
      </c>
      <c r="G278" s="2">
        <v>9.1071000000000009</v>
      </c>
      <c r="H278" s="2">
        <v>41.505000000000003</v>
      </c>
      <c r="I278" s="2">
        <v>8153.7001</v>
      </c>
      <c r="J278" s="5">
        <v>4.8101890000000003</v>
      </c>
      <c r="K278" s="2">
        <v>50.880200000000002</v>
      </c>
      <c r="L278" s="2" t="s">
        <v>346</v>
      </c>
      <c r="M278" s="2">
        <v>4.4144319999999997</v>
      </c>
      <c r="N278" s="2">
        <v>159.31739999999999</v>
      </c>
      <c r="O278" s="2">
        <v>18.520199999999999</v>
      </c>
      <c r="P278" s="2">
        <v>0.83579999999999999</v>
      </c>
      <c r="Q278" s="2">
        <v>1774.6016</v>
      </c>
      <c r="R278" s="2">
        <v>5.3513000000000002</v>
      </c>
      <c r="S278" s="2">
        <v>10.554235</v>
      </c>
      <c r="T278" s="2" t="s">
        <v>346</v>
      </c>
      <c r="U278" s="2">
        <v>3.2881999999999998</v>
      </c>
    </row>
    <row r="279" spans="1:21" customFormat="1" x14ac:dyDescent="0.5">
      <c r="A279" s="1" t="s">
        <v>384</v>
      </c>
      <c r="B279" s="2">
        <v>115.55992500000001</v>
      </c>
      <c r="C279" s="2">
        <v>8.1333000000000002</v>
      </c>
      <c r="D279" s="2">
        <v>4504.4478019999997</v>
      </c>
      <c r="E279" s="5">
        <v>925.30279299999995</v>
      </c>
      <c r="F279" s="2">
        <v>66.807100000000005</v>
      </c>
      <c r="G279" s="2">
        <v>9.0996000000000006</v>
      </c>
      <c r="H279" s="2">
        <v>41.568399999999997</v>
      </c>
      <c r="I279" s="2">
        <v>8120.0553</v>
      </c>
      <c r="J279" s="5">
        <v>4.8346309999999999</v>
      </c>
      <c r="K279" s="2">
        <v>50.253399999999999</v>
      </c>
      <c r="L279" s="2" t="s">
        <v>346</v>
      </c>
      <c r="M279" s="2">
        <v>4.413869</v>
      </c>
      <c r="N279" s="2">
        <v>160.6172</v>
      </c>
      <c r="O279" s="2">
        <v>18.130800000000001</v>
      </c>
      <c r="P279" s="2">
        <v>0.8357</v>
      </c>
      <c r="Q279" s="2">
        <v>1774.3755000000001</v>
      </c>
      <c r="R279" s="2">
        <v>5.2407000000000004</v>
      </c>
      <c r="S279" s="2">
        <v>10.557451</v>
      </c>
      <c r="T279" s="2" t="s">
        <v>346</v>
      </c>
      <c r="U279" s="2">
        <v>3.2966000000000002</v>
      </c>
    </row>
    <row r="280" spans="1:21" customFormat="1" x14ac:dyDescent="0.5">
      <c r="A280" s="1" t="s">
        <v>385</v>
      </c>
      <c r="B280" s="2">
        <v>115.02805600000001</v>
      </c>
      <c r="C280" s="2">
        <v>8.0166000000000004</v>
      </c>
      <c r="D280" s="2">
        <v>4375.6429239999998</v>
      </c>
      <c r="E280" s="5">
        <v>944.30273499999998</v>
      </c>
      <c r="F280" s="2">
        <v>65.564700000000002</v>
      </c>
      <c r="G280" s="2">
        <v>8.9692000000000007</v>
      </c>
      <c r="H280" s="2">
        <v>41.04</v>
      </c>
      <c r="I280" s="2">
        <v>8013.1468000000004</v>
      </c>
      <c r="J280" s="5">
        <v>4.6580510000000004</v>
      </c>
      <c r="K280" s="2">
        <v>50.600999999999999</v>
      </c>
      <c r="L280" s="2" t="s">
        <v>346</v>
      </c>
      <c r="M280" s="2">
        <v>4.3505539999999998</v>
      </c>
      <c r="N280" s="2">
        <v>159.0942</v>
      </c>
      <c r="O280" s="2">
        <v>18.2362</v>
      </c>
      <c r="P280" s="2">
        <v>0.82369999999999999</v>
      </c>
      <c r="Q280" s="2">
        <v>1748.9224999999999</v>
      </c>
      <c r="R280" s="2">
        <v>5.3028000000000004</v>
      </c>
      <c r="S280" s="2">
        <v>10.511047</v>
      </c>
      <c r="T280" s="2" t="s">
        <v>346</v>
      </c>
      <c r="U280" s="2">
        <v>3.2892999999999999</v>
      </c>
    </row>
    <row r="281" spans="1:21" customFormat="1" x14ac:dyDescent="0.5">
      <c r="A281" s="1" t="s">
        <v>386</v>
      </c>
      <c r="B281" s="2">
        <v>114.38288900000001</v>
      </c>
      <c r="C281" s="2">
        <v>7.8871000000000002</v>
      </c>
      <c r="D281" s="2">
        <v>4443.3090750000001</v>
      </c>
      <c r="E281" s="5">
        <v>927.17072199999996</v>
      </c>
      <c r="F281" s="2">
        <v>64.7423</v>
      </c>
      <c r="G281" s="2">
        <v>8.8230000000000004</v>
      </c>
      <c r="H281" s="2">
        <v>40.443800000000003</v>
      </c>
      <c r="I281" s="2">
        <v>7825.0667000000003</v>
      </c>
      <c r="J281" s="5">
        <v>4.5879839999999996</v>
      </c>
      <c r="K281" s="2">
        <v>50.207000000000001</v>
      </c>
      <c r="L281" s="2" t="s">
        <v>346</v>
      </c>
      <c r="M281" s="2">
        <v>4.2802670000000003</v>
      </c>
      <c r="N281" s="2">
        <v>157.76849999999999</v>
      </c>
      <c r="O281" s="2">
        <v>17.795100000000001</v>
      </c>
      <c r="P281" s="2">
        <v>0.81040000000000001</v>
      </c>
      <c r="Q281" s="2">
        <v>1720.6674</v>
      </c>
      <c r="R281" s="2">
        <v>5.2065000000000001</v>
      </c>
      <c r="S281" s="2">
        <v>10.449341</v>
      </c>
      <c r="T281" s="2" t="s">
        <v>346</v>
      </c>
      <c r="U281" s="2">
        <v>3.2841999999999998</v>
      </c>
    </row>
    <row r="282" spans="1:21" customFormat="1" x14ac:dyDescent="0.5">
      <c r="A282" s="1" t="s">
        <v>387</v>
      </c>
      <c r="B282" s="2">
        <v>115.056682</v>
      </c>
      <c r="C282" s="2">
        <v>7.8109000000000002</v>
      </c>
      <c r="D282" s="2">
        <v>4468.9689509999998</v>
      </c>
      <c r="E282" s="5">
        <v>956.84582</v>
      </c>
      <c r="F282" s="2">
        <v>64.612499999999997</v>
      </c>
      <c r="G282" s="2">
        <v>8.7310999999999996</v>
      </c>
      <c r="H282" s="2">
        <v>40.119500000000002</v>
      </c>
      <c r="I282" s="2">
        <v>7704.1414999999997</v>
      </c>
      <c r="J282" s="5">
        <v>4.5633109999999997</v>
      </c>
      <c r="K282" s="2">
        <v>50.122100000000003</v>
      </c>
      <c r="L282" s="2" t="s">
        <v>346</v>
      </c>
      <c r="M282" s="2">
        <v>4.238918</v>
      </c>
      <c r="N282" s="2">
        <v>157.0043</v>
      </c>
      <c r="O282" s="2">
        <v>17.738199999999999</v>
      </c>
      <c r="P282" s="2">
        <v>0.80259999999999998</v>
      </c>
      <c r="Q282" s="2">
        <v>1704.0452</v>
      </c>
      <c r="R282" s="2">
        <v>5.21</v>
      </c>
      <c r="S282" s="2">
        <v>10.459921</v>
      </c>
      <c r="T282" s="2" t="s">
        <v>346</v>
      </c>
      <c r="U282" s="2">
        <v>3.2881999999999998</v>
      </c>
    </row>
    <row r="283" spans="1:21" customFormat="1" x14ac:dyDescent="0.5">
      <c r="A283" s="1" t="s">
        <v>388</v>
      </c>
      <c r="B283" s="2">
        <v>117.543943</v>
      </c>
      <c r="C283" s="2">
        <v>7.8182999999999998</v>
      </c>
      <c r="D283" s="2">
        <v>4527.1220489999996</v>
      </c>
      <c r="E283" s="5">
        <v>930.48328700000002</v>
      </c>
      <c r="F283" s="2">
        <v>65.434600000000003</v>
      </c>
      <c r="G283" s="2">
        <v>8.7103999999999999</v>
      </c>
      <c r="H283" s="2">
        <v>40.225000000000001</v>
      </c>
      <c r="I283" s="2">
        <v>7905.3782000000001</v>
      </c>
      <c r="J283" s="5">
        <v>4.4005229999999997</v>
      </c>
      <c r="K283" s="2">
        <v>50.366399999999999</v>
      </c>
      <c r="L283" s="2" t="s">
        <v>346</v>
      </c>
      <c r="M283" s="2">
        <v>4.2429290000000002</v>
      </c>
      <c r="N283" s="2">
        <v>157.88589999999999</v>
      </c>
      <c r="O283" s="2">
        <v>17.471399999999999</v>
      </c>
      <c r="P283" s="2">
        <v>0.80330000000000001</v>
      </c>
      <c r="Q283" s="2">
        <v>1705.6573000000001</v>
      </c>
      <c r="R283" s="2">
        <v>5.1223000000000001</v>
      </c>
      <c r="S283" s="2">
        <v>10.510057</v>
      </c>
      <c r="T283" s="2" t="s">
        <v>346</v>
      </c>
      <c r="U283" s="2">
        <v>3.2719</v>
      </c>
    </row>
    <row r="284" spans="1:21" customFormat="1" x14ac:dyDescent="0.5">
      <c r="A284" s="1" t="s">
        <v>389</v>
      </c>
      <c r="B284" s="2">
        <v>120.456309</v>
      </c>
      <c r="C284" s="2">
        <v>7.8372999999999999</v>
      </c>
      <c r="D284" s="2">
        <v>4467.27448</v>
      </c>
      <c r="E284" s="5">
        <v>916.39842499999997</v>
      </c>
      <c r="F284" s="2">
        <v>64.403999999999996</v>
      </c>
      <c r="G284" s="2">
        <v>8.7324000000000002</v>
      </c>
      <c r="H284" s="2">
        <v>40.387</v>
      </c>
      <c r="I284" s="2">
        <v>7900.9391999999998</v>
      </c>
      <c r="J284" s="5">
        <v>4.2994870000000001</v>
      </c>
      <c r="K284" s="2">
        <v>48.973199999999999</v>
      </c>
      <c r="L284" s="2" t="s">
        <v>346</v>
      </c>
      <c r="M284" s="2">
        <v>4.2532129999999997</v>
      </c>
      <c r="N284" s="2">
        <v>159.40600000000001</v>
      </c>
      <c r="O284" s="2">
        <v>17.538599999999999</v>
      </c>
      <c r="P284" s="2">
        <v>0.80530000000000002</v>
      </c>
      <c r="Q284" s="2">
        <v>1709.7914000000001</v>
      </c>
      <c r="R284" s="2">
        <v>5.1417000000000002</v>
      </c>
      <c r="S284" s="2">
        <v>10.649296</v>
      </c>
      <c r="T284" s="2" t="s">
        <v>346</v>
      </c>
      <c r="U284" s="2">
        <v>3.2721</v>
      </c>
    </row>
    <row r="285" spans="1:21" customFormat="1" x14ac:dyDescent="0.5">
      <c r="A285" s="1" t="s">
        <v>390</v>
      </c>
      <c r="B285" s="2">
        <v>120.498019</v>
      </c>
      <c r="C285" s="2">
        <v>7.6140999999999996</v>
      </c>
      <c r="D285" s="2" t="s">
        <v>346</v>
      </c>
      <c r="E285" s="5">
        <v>880.62111200000004</v>
      </c>
      <c r="F285" s="2">
        <v>60.735500000000002</v>
      </c>
      <c r="G285" s="2">
        <v>8.4748999999999999</v>
      </c>
      <c r="H285" s="2">
        <v>39.299999999999997</v>
      </c>
      <c r="I285" s="2">
        <v>7672.4378999999999</v>
      </c>
      <c r="J285" s="5">
        <v>4.1197480000000004</v>
      </c>
      <c r="K285" s="2">
        <v>46.547400000000003</v>
      </c>
      <c r="L285" s="2" t="s">
        <v>346</v>
      </c>
      <c r="M285" s="2">
        <v>4.1321089999999998</v>
      </c>
      <c r="N285" s="2">
        <v>157.0078</v>
      </c>
      <c r="O285" s="2">
        <v>18.520600000000002</v>
      </c>
      <c r="P285" s="2">
        <v>0.7823</v>
      </c>
      <c r="Q285" s="2">
        <v>1661.1077</v>
      </c>
      <c r="R285" s="2">
        <v>5.1650999999999998</v>
      </c>
      <c r="S285" s="2">
        <v>10.726298</v>
      </c>
      <c r="T285" s="2" t="s">
        <v>346</v>
      </c>
      <c r="U285" s="2">
        <v>3.2656999999999998</v>
      </c>
    </row>
    <row r="286" spans="1:21" customFormat="1" x14ac:dyDescent="0.5">
      <c r="A286" s="1" t="s">
        <v>391</v>
      </c>
      <c r="B286" s="2">
        <v>122.508563</v>
      </c>
      <c r="C286" s="2">
        <v>7.4756999999999998</v>
      </c>
      <c r="D286" s="2" t="s">
        <v>346</v>
      </c>
      <c r="E286" s="5">
        <v>881.86012300000004</v>
      </c>
      <c r="F286" s="2">
        <v>59.720399999999998</v>
      </c>
      <c r="G286" s="2">
        <v>8.2881</v>
      </c>
      <c r="H286" s="2">
        <v>38.649799999999999</v>
      </c>
      <c r="I286" s="2">
        <v>7412.9323999999997</v>
      </c>
      <c r="J286" s="5">
        <v>4.0459230000000002</v>
      </c>
      <c r="K286" s="2">
        <v>44.518000000000001</v>
      </c>
      <c r="L286" s="2" t="s">
        <v>346</v>
      </c>
      <c r="M286" s="2">
        <v>4.0570259999999996</v>
      </c>
      <c r="N286" s="2">
        <v>155.3229</v>
      </c>
      <c r="O286" s="2">
        <v>19.3491</v>
      </c>
      <c r="P286" s="2">
        <v>0.7681</v>
      </c>
      <c r="Q286" s="2">
        <v>1630.9246000000001</v>
      </c>
      <c r="R286" s="2">
        <v>4.9633000000000003</v>
      </c>
      <c r="S286" s="2">
        <v>10.626379999999999</v>
      </c>
      <c r="T286" s="2" t="s">
        <v>346</v>
      </c>
      <c r="U286" s="2">
        <v>3.2749999999999999</v>
      </c>
    </row>
    <row r="287" spans="1:21" customFormat="1" x14ac:dyDescent="0.5">
      <c r="A287" s="1" t="s">
        <v>392</v>
      </c>
      <c r="B287" s="2">
        <v>124.48197</v>
      </c>
      <c r="C287" s="2">
        <v>7.3097000000000003</v>
      </c>
      <c r="D287" s="2" t="s">
        <v>346</v>
      </c>
      <c r="E287" s="5">
        <v>899.89435700000001</v>
      </c>
      <c r="F287" s="2">
        <v>58.523600000000002</v>
      </c>
      <c r="G287" s="2">
        <v>8.1143000000000001</v>
      </c>
      <c r="H287" s="2">
        <v>37.854100000000003</v>
      </c>
      <c r="I287" s="2">
        <v>7249.2359999999999</v>
      </c>
      <c r="J287" s="5">
        <v>3.9749189999999999</v>
      </c>
      <c r="K287" s="2">
        <v>43.115900000000003</v>
      </c>
      <c r="L287" s="2" t="s">
        <v>346</v>
      </c>
      <c r="M287" s="2">
        <v>3.9669379999999999</v>
      </c>
      <c r="N287" s="2">
        <v>153.99199999999999</v>
      </c>
      <c r="O287" s="2">
        <v>19.691199999999998</v>
      </c>
      <c r="P287" s="2">
        <v>0.75109999999999999</v>
      </c>
      <c r="Q287" s="2">
        <v>1594.7089000000001</v>
      </c>
      <c r="R287" s="2">
        <v>5.1307</v>
      </c>
      <c r="S287" s="2">
        <v>10.578077</v>
      </c>
      <c r="T287" s="2" t="s">
        <v>346</v>
      </c>
      <c r="U287" s="2">
        <v>3.2848000000000002</v>
      </c>
    </row>
    <row r="288" spans="1:21" customFormat="1" x14ac:dyDescent="0.5">
      <c r="A288" s="1" t="s">
        <v>393</v>
      </c>
      <c r="B288" s="2">
        <v>129.58183600000001</v>
      </c>
      <c r="C288" s="2">
        <v>7.3010000000000002</v>
      </c>
      <c r="D288" s="2" t="s">
        <v>346</v>
      </c>
      <c r="E288" s="5">
        <v>905.30933100000004</v>
      </c>
      <c r="F288" s="2">
        <v>58.108499999999999</v>
      </c>
      <c r="G288" s="2">
        <v>8.1755999999999993</v>
      </c>
      <c r="H288" s="2">
        <v>37.901200000000003</v>
      </c>
      <c r="I288" s="2">
        <v>7246.1559999999999</v>
      </c>
      <c r="J288" s="5">
        <v>3.9591630000000002</v>
      </c>
      <c r="K288" s="2">
        <v>42.025500000000001</v>
      </c>
      <c r="L288" s="2" t="s">
        <v>346</v>
      </c>
      <c r="M288" s="2">
        <v>3.9621819999999999</v>
      </c>
      <c r="N288" s="2">
        <v>154.05609999999999</v>
      </c>
      <c r="O288" s="2">
        <v>19.398399999999999</v>
      </c>
      <c r="P288" s="2">
        <v>0.75019999999999998</v>
      </c>
      <c r="Q288" s="2">
        <v>1592.7971</v>
      </c>
      <c r="R288" s="2" t="s">
        <v>346</v>
      </c>
      <c r="S288" s="2">
        <v>10.557452</v>
      </c>
      <c r="T288" s="2" t="s">
        <v>346</v>
      </c>
      <c r="U288" s="2">
        <v>3.2749999999999999</v>
      </c>
    </row>
    <row r="289" spans="1:21" customFormat="1" x14ac:dyDescent="0.5">
      <c r="A289" s="1" t="s">
        <v>394</v>
      </c>
      <c r="B289" s="2">
        <v>130.648177</v>
      </c>
      <c r="C289" s="2">
        <v>7.0335999999999999</v>
      </c>
      <c r="D289" s="2" t="s">
        <v>346</v>
      </c>
      <c r="E289" s="5">
        <v>967.01309600000002</v>
      </c>
      <c r="F289" s="2">
        <v>55.7</v>
      </c>
      <c r="G289" s="2">
        <v>7.8723000000000001</v>
      </c>
      <c r="H289" s="2" t="s">
        <v>346</v>
      </c>
      <c r="I289" s="2">
        <v>6991.2605000000003</v>
      </c>
      <c r="J289" s="5">
        <v>3.9719959999999999</v>
      </c>
      <c r="K289" s="2">
        <v>41.825099999999999</v>
      </c>
      <c r="L289" s="2" t="s">
        <v>346</v>
      </c>
      <c r="M289" s="2">
        <v>3.8170890000000002</v>
      </c>
      <c r="N289" s="2">
        <v>148.93180000000001</v>
      </c>
      <c r="O289" s="2">
        <v>19.2333</v>
      </c>
      <c r="P289" s="2">
        <v>0.72270000000000001</v>
      </c>
      <c r="Q289" s="2">
        <v>1534.4699000000001</v>
      </c>
      <c r="R289" s="2" t="s">
        <v>346</v>
      </c>
      <c r="S289" s="2">
        <v>10.428283</v>
      </c>
      <c r="T289" s="2" t="s">
        <v>346</v>
      </c>
      <c r="U289" s="2">
        <v>3.2136999999999998</v>
      </c>
    </row>
    <row r="290" spans="1:21" customFormat="1" x14ac:dyDescent="0.5">
      <c r="A290" s="1" t="s">
        <v>395</v>
      </c>
      <c r="B290" s="2">
        <v>136.93846400000001</v>
      </c>
      <c r="C290" s="2">
        <v>6.9987000000000004</v>
      </c>
      <c r="D290" s="2" t="s">
        <v>346</v>
      </c>
      <c r="E290" s="5">
        <v>915.96730100000002</v>
      </c>
      <c r="F290" s="2">
        <v>54.5687</v>
      </c>
      <c r="G290" s="2">
        <v>7.8296000000000001</v>
      </c>
      <c r="H290" s="2" t="s">
        <v>346</v>
      </c>
      <c r="I290" s="2">
        <v>6962.7644</v>
      </c>
      <c r="J290" s="5">
        <v>3.9235479999999998</v>
      </c>
      <c r="K290" s="2">
        <v>40.9786</v>
      </c>
      <c r="L290" s="2" t="s">
        <v>346</v>
      </c>
      <c r="M290" s="2">
        <v>3.7981630000000002</v>
      </c>
      <c r="N290" s="2">
        <v>144.2801</v>
      </c>
      <c r="O290" s="2">
        <v>19.098299999999998</v>
      </c>
      <c r="P290" s="2">
        <v>0.71909999999999996</v>
      </c>
      <c r="Q290" s="2">
        <v>1526.8615</v>
      </c>
      <c r="R290" s="2" t="s">
        <v>346</v>
      </c>
      <c r="S290" s="2">
        <v>10.536918999999999</v>
      </c>
      <c r="T290" s="2" t="s">
        <v>346</v>
      </c>
      <c r="U290" s="2">
        <v>3.2132000000000001</v>
      </c>
    </row>
    <row r="291" spans="1:21" customFormat="1" x14ac:dyDescent="0.5">
      <c r="A291" s="1" t="s">
        <v>396</v>
      </c>
      <c r="B291" s="2">
        <v>141.75834399999999</v>
      </c>
      <c r="C291" s="2">
        <v>6.8434999999999997</v>
      </c>
      <c r="D291" s="2" t="s">
        <v>346</v>
      </c>
      <c r="E291" s="5">
        <v>913.994686</v>
      </c>
      <c r="F291" s="2">
        <v>53.009300000000003</v>
      </c>
      <c r="G291" s="2">
        <v>7.7392000000000003</v>
      </c>
      <c r="H291" s="2" t="s">
        <v>346</v>
      </c>
      <c r="I291" s="2">
        <v>6907.1243000000004</v>
      </c>
      <c r="J291" s="5">
        <v>3.860198</v>
      </c>
      <c r="K291" s="2">
        <v>40.549999999999997</v>
      </c>
      <c r="L291" s="2" t="s">
        <v>346</v>
      </c>
      <c r="M291" s="2">
        <v>3.7139150000000001</v>
      </c>
      <c r="N291" s="2">
        <v>139.2073</v>
      </c>
      <c r="O291" s="2">
        <v>18.8567</v>
      </c>
      <c r="P291" s="2">
        <v>0.70320000000000005</v>
      </c>
      <c r="Q291" s="2">
        <v>1492.9937</v>
      </c>
      <c r="R291" s="2" t="s">
        <v>346</v>
      </c>
      <c r="S291" s="2">
        <v>10.668101</v>
      </c>
      <c r="T291" s="2" t="s">
        <v>346</v>
      </c>
      <c r="U291" s="2">
        <v>3.2174999999999998</v>
      </c>
    </row>
    <row r="292" spans="1:21" customFormat="1" x14ac:dyDescent="0.5">
      <c r="A292" s="1" t="s">
        <v>397</v>
      </c>
      <c r="B292" s="2" t="s">
        <v>346</v>
      </c>
      <c r="C292" s="2" t="s">
        <v>346</v>
      </c>
      <c r="D292" s="2" t="s">
        <v>346</v>
      </c>
      <c r="E292" s="5">
        <v>939.23030500000004</v>
      </c>
      <c r="F292" s="2" t="s">
        <v>346</v>
      </c>
      <c r="G292" s="2">
        <v>7.7222999999999997</v>
      </c>
      <c r="H292" s="2" t="s">
        <v>346</v>
      </c>
      <c r="I292" s="2">
        <v>7051.7278999999999</v>
      </c>
      <c r="J292" s="5" t="s">
        <v>346</v>
      </c>
      <c r="K292" s="2" t="s">
        <v>346</v>
      </c>
      <c r="L292" s="2" t="s">
        <v>346</v>
      </c>
      <c r="M292" s="2">
        <v>3.684625</v>
      </c>
      <c r="N292" s="2">
        <v>137.81780000000001</v>
      </c>
      <c r="O292" s="2" t="s">
        <v>346</v>
      </c>
      <c r="P292" s="2">
        <v>0.6976</v>
      </c>
      <c r="Q292" s="2">
        <v>1481.2193</v>
      </c>
      <c r="R292" s="2" t="s">
        <v>346</v>
      </c>
      <c r="S292" s="2" t="s">
        <v>346</v>
      </c>
      <c r="T292" s="2" t="s">
        <v>346</v>
      </c>
      <c r="U292" s="2">
        <v>3.2408999999999999</v>
      </c>
    </row>
    <row r="293" spans="1:21" customFormat="1" ht="67.5" x14ac:dyDescent="0.5">
      <c r="A293" s="1" t="s">
        <v>398</v>
      </c>
      <c r="B293" s="2" t="s">
        <v>399</v>
      </c>
      <c r="C293" s="2" t="s">
        <v>399</v>
      </c>
      <c r="D293" s="2" t="s">
        <v>399</v>
      </c>
      <c r="E293" s="5" t="s">
        <v>399</v>
      </c>
      <c r="F293" s="2" t="s">
        <v>399</v>
      </c>
      <c r="G293" s="2" t="s">
        <v>399</v>
      </c>
      <c r="H293" s="2" t="s">
        <v>399</v>
      </c>
      <c r="I293" s="2" t="s">
        <v>399</v>
      </c>
      <c r="J293" s="5" t="s">
        <v>399</v>
      </c>
      <c r="K293" s="2" t="s">
        <v>399</v>
      </c>
      <c r="L293" s="2" t="s">
        <v>399</v>
      </c>
      <c r="M293" s="2" t="s">
        <v>399</v>
      </c>
      <c r="N293" s="2" t="s">
        <v>399</v>
      </c>
      <c r="O293" s="2" t="s">
        <v>399</v>
      </c>
      <c r="P293" s="2" t="s">
        <v>399</v>
      </c>
      <c r="Q293" s="2" t="s">
        <v>399</v>
      </c>
      <c r="R293" s="2" t="s">
        <v>399</v>
      </c>
      <c r="S293" s="2" t="s">
        <v>400</v>
      </c>
      <c r="T293" s="2" t="s">
        <v>399</v>
      </c>
      <c r="U293" s="2" t="s">
        <v>399</v>
      </c>
    </row>
    <row r="294" spans="1:21" customFormat="1" ht="101.25" x14ac:dyDescent="0.5">
      <c r="A294" s="1" t="s">
        <v>401</v>
      </c>
      <c r="B294" s="2" t="s">
        <v>346</v>
      </c>
      <c r="C294" s="2" t="s">
        <v>346</v>
      </c>
      <c r="D294" s="2" t="s">
        <v>346</v>
      </c>
      <c r="E294" s="5" t="s">
        <v>346</v>
      </c>
      <c r="F294" s="2" t="s">
        <v>346</v>
      </c>
      <c r="G294" s="2" t="s">
        <v>346</v>
      </c>
      <c r="H294" s="2" t="s">
        <v>346</v>
      </c>
      <c r="I294" s="2" t="s">
        <v>346</v>
      </c>
      <c r="J294" s="5" t="s">
        <v>346</v>
      </c>
      <c r="K294" s="2" t="s">
        <v>346</v>
      </c>
      <c r="L294" s="2" t="s">
        <v>346</v>
      </c>
      <c r="M294" s="2" t="s">
        <v>346</v>
      </c>
      <c r="N294" s="2" t="s">
        <v>346</v>
      </c>
      <c r="O294" s="2" t="s">
        <v>346</v>
      </c>
      <c r="P294" s="2" t="s">
        <v>346</v>
      </c>
      <c r="Q294" s="2" t="s">
        <v>346</v>
      </c>
      <c r="R294" s="2" t="s">
        <v>402</v>
      </c>
      <c r="S294" s="2" t="s">
        <v>346</v>
      </c>
      <c r="T294" s="2" t="s">
        <v>346</v>
      </c>
      <c r="U294" s="2" t="s">
        <v>346</v>
      </c>
    </row>
    <row r="300" spans="1:21" customFormat="1" x14ac:dyDescent="0.5">
      <c r="A300" s="1"/>
      <c r="B300" s="2"/>
      <c r="C300" s="2"/>
      <c r="D300" s="2"/>
      <c r="E300" s="5"/>
      <c r="F300" s="2"/>
      <c r="G300" s="2"/>
      <c r="H300" s="2"/>
      <c r="I300" s="2"/>
      <c r="J300" s="5"/>
      <c r="K300" s="2"/>
      <c r="L300" s="2"/>
      <c r="M300" s="2"/>
      <c r="N300" s="2"/>
      <c r="O300" s="2"/>
      <c r="P300" s="2"/>
      <c r="Q300" s="2"/>
      <c r="R300" s="2"/>
      <c r="S300" s="2"/>
      <c r="T300" s="2"/>
      <c r="U300" s="2"/>
    </row>
    <row r="301" spans="1:21" customFormat="1" x14ac:dyDescent="0.5">
      <c r="A301" s="1"/>
      <c r="B301" s="2"/>
      <c r="C301" s="2"/>
      <c r="D301" s="2"/>
      <c r="E301" s="5"/>
      <c r="F301" s="2"/>
      <c r="G301" s="2"/>
      <c r="H301" s="2"/>
      <c r="I301" s="2"/>
      <c r="J301" s="5"/>
      <c r="K301" s="2"/>
      <c r="L301" s="2"/>
      <c r="M301" s="2"/>
      <c r="N301" s="2"/>
      <c r="O301" s="2"/>
      <c r="P301" s="2"/>
      <c r="Q301" s="2"/>
      <c r="R301" s="2"/>
      <c r="S301" s="2"/>
      <c r="T301" s="2"/>
      <c r="U301" s="2"/>
    </row>
    <row r="305" spans="1:22" x14ac:dyDescent="0.5">
      <c r="V305"/>
    </row>
    <row r="306" spans="1:22" ht="202.5" x14ac:dyDescent="0.5">
      <c r="A306" s="14" t="s">
        <v>403</v>
      </c>
      <c r="B306" s="2" t="s">
        <v>68</v>
      </c>
      <c r="C306" s="2" t="s">
        <v>69</v>
      </c>
      <c r="D306" s="2" t="s">
        <v>70</v>
      </c>
      <c r="E306" s="5" t="s">
        <v>71</v>
      </c>
      <c r="F306" s="2" t="s">
        <v>72</v>
      </c>
      <c r="G306" s="2" t="s">
        <v>73</v>
      </c>
      <c r="H306" s="2" t="s">
        <v>74</v>
      </c>
      <c r="I306" s="2" t="s">
        <v>75</v>
      </c>
      <c r="J306" s="5" t="s">
        <v>76</v>
      </c>
      <c r="K306" s="2" t="s">
        <v>77</v>
      </c>
      <c r="L306" s="2" t="s">
        <v>78</v>
      </c>
      <c r="M306" s="2" t="s">
        <v>79</v>
      </c>
      <c r="N306" s="2" t="s">
        <v>80</v>
      </c>
      <c r="O306" s="2" t="s">
        <v>81</v>
      </c>
      <c r="P306" s="2" t="s">
        <v>82</v>
      </c>
      <c r="Q306" s="2" t="s">
        <v>83</v>
      </c>
      <c r="R306" s="2" t="s">
        <v>84</v>
      </c>
      <c r="S306" s="2" t="s">
        <v>85</v>
      </c>
      <c r="T306" s="2" t="s">
        <v>86</v>
      </c>
      <c r="U306" s="2" t="s">
        <v>87</v>
      </c>
      <c r="V306"/>
    </row>
    <row r="307" spans="1:22" ht="119.25" customHeight="1" x14ac:dyDescent="0.5">
      <c r="A307" s="14" t="s">
        <v>404</v>
      </c>
      <c r="B307" s="16">
        <f>AVERAGE(B7:B18)</f>
        <v>1.0668347499999997</v>
      </c>
      <c r="C307" s="16">
        <f t="shared" ref="C307:U307" si="0">AVERAGE(C7:C18)</f>
        <v>6.1975750000000005</v>
      </c>
      <c r="D307" s="16">
        <f t="shared" si="0"/>
        <v>1869.4838229166664</v>
      </c>
      <c r="E307" s="16">
        <f t="shared" si="0"/>
        <v>542.17455925000002</v>
      </c>
      <c r="F307" s="16">
        <f t="shared" si="0"/>
        <v>17.105566666666665</v>
      </c>
      <c r="G307" s="16">
        <f t="shared" si="0"/>
        <v>7.8699750000000002</v>
      </c>
      <c r="H307" s="16">
        <f t="shared" si="0"/>
        <v>12.587524999999998</v>
      </c>
      <c r="I307" s="16">
        <f t="shared" si="0"/>
        <v>3321.8453333333332</v>
      </c>
      <c r="J307" s="16">
        <f t="shared" si="0"/>
        <v>3.6079620833333337</v>
      </c>
      <c r="K307" s="16">
        <f t="shared" si="0"/>
        <v>12.08919166666667</v>
      </c>
      <c r="L307" s="16">
        <f t="shared" si="0"/>
        <v>0.64468483333333337</v>
      </c>
      <c r="M307" s="16">
        <f t="shared" si="0"/>
        <v>4.0006299166666661</v>
      </c>
      <c r="N307" s="16">
        <f t="shared" si="0"/>
        <v>70.938733333333332</v>
      </c>
      <c r="O307" s="16">
        <f t="shared" si="0"/>
        <v>3.5951999999999997</v>
      </c>
      <c r="P307" s="16">
        <f t="shared" si="0"/>
        <v>0.75660833333333322</v>
      </c>
      <c r="Q307" s="16">
        <f t="shared" si="0"/>
        <v>1608.6244083333333</v>
      </c>
      <c r="R307" s="16">
        <f t="shared" si="0"/>
        <v>0.49170000000000003</v>
      </c>
      <c r="S307" s="16">
        <f t="shared" si="0"/>
        <v>10.451733083333334</v>
      </c>
      <c r="T307" s="16">
        <f t="shared" si="0"/>
        <v>11.884750000000002</v>
      </c>
      <c r="U307" s="16">
        <f t="shared" si="0"/>
        <v>1.2640499999999999</v>
      </c>
      <c r="V307"/>
    </row>
    <row r="308" spans="1:22" x14ac:dyDescent="0.5">
      <c r="A308" s="14"/>
      <c r="B308" s="16">
        <f>AVERAGE(B19:B30)</f>
        <v>0.92402050000000002</v>
      </c>
      <c r="C308" s="16">
        <f t="shared" ref="C308:U308" si="1">AVERAGE(C19:C30)</f>
        <v>5.7090999999999994</v>
      </c>
      <c r="D308" s="16">
        <f t="shared" si="1"/>
        <v>1925.2482418333332</v>
      </c>
      <c r="E308" s="16">
        <f t="shared" si="1"/>
        <v>497.58023400000002</v>
      </c>
      <c r="F308" s="16">
        <f t="shared" si="1"/>
        <v>15.161816666666667</v>
      </c>
      <c r="G308" s="16">
        <f t="shared" si="1"/>
        <v>7.1737249999999984</v>
      </c>
      <c r="H308" s="16">
        <f t="shared" si="1"/>
        <v>11.711483333333334</v>
      </c>
      <c r="I308" s="16">
        <f t="shared" si="1"/>
        <v>3219.7645833333331</v>
      </c>
      <c r="J308" s="16">
        <f t="shared" si="1"/>
        <v>3.2242320000000002</v>
      </c>
      <c r="K308" s="16">
        <f t="shared" si="1"/>
        <v>11.168333333333331</v>
      </c>
      <c r="L308" s="16">
        <f t="shared" si="1"/>
        <v>0.62701225000000005</v>
      </c>
      <c r="M308" s="16">
        <f t="shared" si="1"/>
        <v>3.4650773333333329</v>
      </c>
      <c r="N308" s="16">
        <f t="shared" si="1"/>
        <v>69.39221666666667</v>
      </c>
      <c r="O308" s="16">
        <f t="shared" si="1"/>
        <v>3.2052083333333337</v>
      </c>
      <c r="P308" s="16">
        <f t="shared" si="1"/>
        <v>0.65533333333333343</v>
      </c>
      <c r="Q308" s="16">
        <f t="shared" si="1"/>
        <v>1392.9610666666665</v>
      </c>
      <c r="R308" s="16">
        <f t="shared" si="1"/>
        <v>0.47069166666666656</v>
      </c>
      <c r="S308" s="16">
        <f t="shared" si="1"/>
        <v>9.8030445833333317</v>
      </c>
      <c r="T308" s="16">
        <f t="shared" si="1"/>
        <v>10.319708333333333</v>
      </c>
      <c r="U308" s="16">
        <f t="shared" si="1"/>
        <v>1.2633666666666665</v>
      </c>
      <c r="V308"/>
    </row>
    <row r="309" spans="1:22" x14ac:dyDescent="0.5">
      <c r="A309" s="14"/>
      <c r="B309" s="16">
        <f>AVERAGE(B31:B42)</f>
        <v>0.89563574999999995</v>
      </c>
      <c r="C309" s="16">
        <f t="shared" ref="C309:U309" si="2">AVERAGE(C31:C42)</f>
        <v>5.9165833333333326</v>
      </c>
      <c r="D309" s="16">
        <f t="shared" si="2"/>
        <v>2059.2016550000003</v>
      </c>
      <c r="E309" s="16">
        <f t="shared" si="2"/>
        <v>568.40071174999991</v>
      </c>
      <c r="F309" s="16">
        <f t="shared" si="2"/>
        <v>15.183450000000001</v>
      </c>
      <c r="G309" s="16">
        <f t="shared" si="2"/>
        <v>7.0385166666666663</v>
      </c>
      <c r="H309" s="16">
        <f t="shared" si="2"/>
        <v>11.975808333333333</v>
      </c>
      <c r="I309" s="16">
        <f t="shared" si="2"/>
        <v>3675.6529583333336</v>
      </c>
      <c r="J309" s="16">
        <f t="shared" si="2"/>
        <v>3.1407035000000003</v>
      </c>
      <c r="K309" s="16">
        <f t="shared" si="2"/>
        <v>11.924150000000003</v>
      </c>
      <c r="L309" s="16">
        <f t="shared" si="2"/>
        <v>0.64739216666666666</v>
      </c>
      <c r="M309" s="16">
        <f t="shared" si="2"/>
        <v>3.3586337499999992</v>
      </c>
      <c r="N309" s="16">
        <f t="shared" si="2"/>
        <v>69.126916666666673</v>
      </c>
      <c r="O309" s="16">
        <f t="shared" si="2"/>
        <v>3.5455666666666663</v>
      </c>
      <c r="P309" s="16">
        <f t="shared" si="2"/>
        <v>0.63517500000000016</v>
      </c>
      <c r="Q309" s="16">
        <f t="shared" si="2"/>
        <v>1350.1706999999999</v>
      </c>
      <c r="R309" s="16">
        <f t="shared" si="2"/>
        <v>0.53995833333333343</v>
      </c>
      <c r="S309" s="16">
        <f t="shared" si="2"/>
        <v>10.114757916666667</v>
      </c>
      <c r="T309" s="16">
        <f t="shared" si="2"/>
        <v>10.009516666666666</v>
      </c>
      <c r="U309" s="16">
        <f t="shared" si="2"/>
        <v>1.2877583333333333</v>
      </c>
      <c r="V309"/>
    </row>
    <row r="310" spans="1:22" x14ac:dyDescent="0.5">
      <c r="A310" s="14"/>
      <c r="B310" s="4"/>
      <c r="C310" s="4"/>
      <c r="D310" s="4"/>
      <c r="E310" s="7"/>
      <c r="F310" s="4"/>
      <c r="G310" s="4"/>
      <c r="H310" s="4"/>
      <c r="I310" s="4"/>
      <c r="J310" s="7"/>
      <c r="K310" s="4"/>
      <c r="L310" s="4"/>
      <c r="M310" s="4"/>
      <c r="N310" s="4"/>
      <c r="O310" s="4"/>
      <c r="P310" s="4"/>
      <c r="Q310" s="4"/>
      <c r="R310" s="4"/>
      <c r="S310" s="4"/>
      <c r="T310" s="4"/>
      <c r="U310" s="4"/>
      <c r="V310"/>
    </row>
    <row r="311" spans="1:22" x14ac:dyDescent="0.5">
      <c r="A311" s="14"/>
    </row>
    <row r="312" spans="1:22" ht="135" x14ac:dyDescent="0.5">
      <c r="A312" s="14" t="s">
        <v>406</v>
      </c>
      <c r="V312"/>
    </row>
    <row r="313" spans="1:22" x14ac:dyDescent="0.5">
      <c r="A313" s="14"/>
    </row>
    <row r="314" spans="1:22" x14ac:dyDescent="0.5">
      <c r="A314" s="14"/>
    </row>
    <row r="315" spans="1:22" x14ac:dyDescent="0.5">
      <c r="A315" s="14"/>
    </row>
    <row r="316" spans="1:22" ht="101.25" x14ac:dyDescent="0.5">
      <c r="A316" s="14" t="s">
        <v>405</v>
      </c>
      <c r="V316"/>
    </row>
    <row r="317" spans="1:22" x14ac:dyDescent="0.5">
      <c r="A317" s="14"/>
    </row>
    <row r="318" spans="1:22" ht="101.25" x14ac:dyDescent="0.5">
      <c r="A318" s="14" t="s">
        <v>407</v>
      </c>
    </row>
  </sheetData>
  <sheetProtection selectLockedCells="1" selectUnlockedCell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>
    <tabColor theme="7" tint="0.79998168889431442"/>
  </sheetPr>
  <dimension ref="B1:U7"/>
  <sheetViews>
    <sheetView tabSelected="1" zoomScale="51" workbookViewId="0">
      <selection activeCell="J17" sqref="J17"/>
    </sheetView>
  </sheetViews>
  <sheetFormatPr baseColWidth="10" defaultRowHeight="33.75" x14ac:dyDescent="0.5"/>
  <sheetData>
    <row r="1" spans="2:21" x14ac:dyDescent="0.5">
      <c r="B1" s="13"/>
      <c r="C1" s="13"/>
      <c r="D1" s="13"/>
      <c r="E1" s="13"/>
      <c r="F1" s="13"/>
      <c r="G1" s="13"/>
      <c r="H1" s="13"/>
      <c r="I1" s="13"/>
      <c r="J1" s="13"/>
      <c r="K1" s="13"/>
      <c r="L1" s="13"/>
      <c r="M1" s="13"/>
      <c r="N1" s="13"/>
      <c r="O1" s="13"/>
      <c r="P1" s="13"/>
      <c r="Q1" s="13"/>
      <c r="R1" s="13"/>
      <c r="S1" s="13"/>
      <c r="T1" s="13"/>
      <c r="U1" s="13"/>
    </row>
    <row r="2" spans="2:21" x14ac:dyDescent="0.5">
      <c r="B2" s="13"/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</row>
    <row r="3" spans="2:21" x14ac:dyDescent="0.5">
      <c r="B3" s="13"/>
      <c r="C3" s="13"/>
      <c r="D3" s="13"/>
      <c r="E3" s="13"/>
      <c r="F3" s="13"/>
      <c r="G3" s="13"/>
      <c r="H3" s="13"/>
      <c r="I3" s="13"/>
      <c r="J3" s="13"/>
      <c r="K3" s="13"/>
      <c r="L3" s="13"/>
      <c r="M3" s="13"/>
      <c r="N3" s="13"/>
      <c r="O3" s="13"/>
      <c r="P3" s="13"/>
      <c r="Q3" s="13"/>
      <c r="R3" s="13"/>
      <c r="S3" s="13"/>
      <c r="T3" s="13"/>
      <c r="U3" s="13"/>
    </row>
    <row r="4" spans="2:21" x14ac:dyDescent="0.5">
      <c r="B4" s="17" t="s">
        <v>68</v>
      </c>
      <c r="C4" s="17" t="s">
        <v>69</v>
      </c>
      <c r="D4" s="17" t="s">
        <v>70</v>
      </c>
      <c r="E4" s="17" t="s">
        <v>71</v>
      </c>
      <c r="F4" s="17" t="s">
        <v>72</v>
      </c>
      <c r="G4" s="17" t="s">
        <v>73</v>
      </c>
      <c r="H4" s="17" t="s">
        <v>74</v>
      </c>
      <c r="I4" s="17" t="s">
        <v>75</v>
      </c>
      <c r="J4" s="17" t="s">
        <v>76</v>
      </c>
      <c r="K4" s="17" t="s">
        <v>77</v>
      </c>
      <c r="L4" s="17" t="s">
        <v>78</v>
      </c>
      <c r="M4" s="17" t="s">
        <v>79</v>
      </c>
      <c r="N4" s="17" t="s">
        <v>80</v>
      </c>
      <c r="O4" s="17" t="s">
        <v>81</v>
      </c>
      <c r="P4" s="17" t="s">
        <v>82</v>
      </c>
      <c r="Q4" s="17" t="s">
        <v>83</v>
      </c>
      <c r="R4" s="17" t="s">
        <v>84</v>
      </c>
      <c r="S4" s="17" t="s">
        <v>85</v>
      </c>
      <c r="T4" s="17" t="s">
        <v>86</v>
      </c>
      <c r="U4" s="17" t="s">
        <v>87</v>
      </c>
    </row>
    <row r="5" spans="2:21" x14ac:dyDescent="0.5">
      <c r="B5" s="17">
        <v>1.0668347499999997</v>
      </c>
      <c r="C5" s="17">
        <v>6.1975750000000005</v>
      </c>
      <c r="D5" s="17">
        <v>1869.4838229166664</v>
      </c>
      <c r="E5" s="17">
        <v>542.17455925000002</v>
      </c>
      <c r="F5" s="17">
        <v>17.105566666666665</v>
      </c>
      <c r="G5" s="17">
        <v>7.8699750000000002</v>
      </c>
      <c r="H5" s="17">
        <v>12.587524999999998</v>
      </c>
      <c r="I5" s="17">
        <v>3321.8453333333332</v>
      </c>
      <c r="J5" s="17">
        <v>3.6079620833333337</v>
      </c>
      <c r="K5" s="17">
        <v>12.08919166666667</v>
      </c>
      <c r="L5" s="17">
        <v>0.64468483333333337</v>
      </c>
      <c r="M5" s="17">
        <v>4.0006299166666661</v>
      </c>
      <c r="N5" s="17">
        <v>70.938733333333332</v>
      </c>
      <c r="O5" s="17">
        <v>3.5951999999999997</v>
      </c>
      <c r="P5" s="17">
        <v>0.75660833333333322</v>
      </c>
      <c r="Q5" s="17">
        <v>1608.6244083333333</v>
      </c>
      <c r="R5" s="17">
        <v>0.49170000000000003</v>
      </c>
      <c r="S5" s="17">
        <v>10.451733083333334</v>
      </c>
      <c r="T5" s="17">
        <v>11.884750000000002</v>
      </c>
      <c r="U5" s="17">
        <v>1.2640499999999999</v>
      </c>
    </row>
    <row r="6" spans="2:21" x14ac:dyDescent="0.5">
      <c r="B6" s="17">
        <v>0.92402050000000002</v>
      </c>
      <c r="C6" s="17">
        <v>5.7090999999999994</v>
      </c>
      <c r="D6" s="17">
        <v>1925.2482418333332</v>
      </c>
      <c r="E6" s="17">
        <v>497.58023400000002</v>
      </c>
      <c r="F6" s="17">
        <v>15.161816666666667</v>
      </c>
      <c r="G6" s="17">
        <v>7.1737249999999984</v>
      </c>
      <c r="H6" s="17">
        <v>11.711483333333334</v>
      </c>
      <c r="I6" s="17">
        <v>3219.7645833333331</v>
      </c>
      <c r="J6" s="17">
        <v>3.2242320000000002</v>
      </c>
      <c r="K6" s="17">
        <v>11.168333333333331</v>
      </c>
      <c r="L6" s="17">
        <v>0.62701225000000005</v>
      </c>
      <c r="M6" s="17">
        <v>3.4650773333333329</v>
      </c>
      <c r="N6" s="17">
        <v>69.39221666666667</v>
      </c>
      <c r="O6" s="17">
        <v>3.2052083333333337</v>
      </c>
      <c r="P6" s="17">
        <v>0.65533333333333343</v>
      </c>
      <c r="Q6" s="17">
        <v>1392.9610666666665</v>
      </c>
      <c r="R6" s="17">
        <v>0.47069166666666656</v>
      </c>
      <c r="S6" s="17">
        <v>9.8030445833333317</v>
      </c>
      <c r="T6" s="17">
        <v>10.319708333333333</v>
      </c>
      <c r="U6" s="17">
        <v>1.2633666666666665</v>
      </c>
    </row>
    <row r="7" spans="2:21" x14ac:dyDescent="0.5">
      <c r="B7" s="17">
        <v>0.89563574999999995</v>
      </c>
      <c r="C7" s="17">
        <v>5.9165833333333326</v>
      </c>
      <c r="D7" s="17">
        <v>2059.2016550000003</v>
      </c>
      <c r="E7" s="17">
        <v>568.40071174999991</v>
      </c>
      <c r="F7" s="17">
        <v>15.183450000000001</v>
      </c>
      <c r="G7" s="17">
        <v>7.0385166666666663</v>
      </c>
      <c r="H7" s="17">
        <v>11.975808333333333</v>
      </c>
      <c r="I7" s="17">
        <v>3675.6529583333336</v>
      </c>
      <c r="J7" s="17">
        <v>3.1407035000000003</v>
      </c>
      <c r="K7" s="17">
        <v>11.924150000000003</v>
      </c>
      <c r="L7" s="17">
        <v>0.64739216666666666</v>
      </c>
      <c r="M7" s="17">
        <v>3.3586337499999992</v>
      </c>
      <c r="N7" s="17">
        <v>69.126916666666673</v>
      </c>
      <c r="O7" s="17">
        <v>3.5455666666666663</v>
      </c>
      <c r="P7" s="17">
        <v>0.63517500000000016</v>
      </c>
      <c r="Q7" s="17">
        <v>1350.1706999999999</v>
      </c>
      <c r="R7" s="17">
        <v>0.53995833333333343</v>
      </c>
      <c r="S7" s="17">
        <v>10.114757916666667</v>
      </c>
      <c r="T7" s="17">
        <v>10.009516666666666</v>
      </c>
      <c r="U7" s="17">
        <v>1.2877583333333333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/>
  <dimension ref="A1:V310"/>
  <sheetViews>
    <sheetView zoomScale="53" workbookViewId="0">
      <selection sqref="A1:AM295"/>
    </sheetView>
  </sheetViews>
  <sheetFormatPr baseColWidth="10" defaultColWidth="3.5546875" defaultRowHeight="33.75" x14ac:dyDescent="0.5"/>
  <cols>
    <col min="1" max="1" width="40.609375" style="1" customWidth="1"/>
    <col min="2" max="22" width="15.83203125" style="2" customWidth="1"/>
  </cols>
  <sheetData>
    <row r="1" spans="22:22" x14ac:dyDescent="0.5">
      <c r="V1"/>
    </row>
    <row r="2" spans="22:22" s="3" customFormat="1" x14ac:dyDescent="0.5"/>
    <row r="3" spans="22:22" x14ac:dyDescent="0.5">
      <c r="V3"/>
    </row>
    <row r="4" spans="22:22" x14ac:dyDescent="0.5">
      <c r="V4"/>
    </row>
    <row r="5" spans="22:22" x14ac:dyDescent="0.5">
      <c r="V5"/>
    </row>
    <row r="6" spans="22:22" x14ac:dyDescent="0.5">
      <c r="V6"/>
    </row>
    <row r="7" spans="22:22" x14ac:dyDescent="0.5">
      <c r="V7"/>
    </row>
    <row r="8" spans="22:22" x14ac:dyDescent="0.5">
      <c r="V8"/>
    </row>
    <row r="9" spans="22:22" x14ac:dyDescent="0.5">
      <c r="V9"/>
    </row>
    <row r="10" spans="22:22" x14ac:dyDescent="0.5">
      <c r="V10"/>
    </row>
    <row r="11" spans="22:22" x14ac:dyDescent="0.5">
      <c r="V11"/>
    </row>
    <row r="12" spans="22:22" x14ac:dyDescent="0.5">
      <c r="V12"/>
    </row>
    <row r="13" spans="22:22" x14ac:dyDescent="0.5">
      <c r="V13"/>
    </row>
    <row r="14" spans="22:22" x14ac:dyDescent="0.5">
      <c r="V14"/>
    </row>
    <row r="15" spans="22:22" x14ac:dyDescent="0.5">
      <c r="V15"/>
    </row>
    <row r="16" spans="22:22" x14ac:dyDescent="0.5">
      <c r="V16"/>
    </row>
    <row r="17" spans="22:22" x14ac:dyDescent="0.5">
      <c r="V17"/>
    </row>
    <row r="18" spans="22:22" x14ac:dyDescent="0.5">
      <c r="V18"/>
    </row>
    <row r="19" spans="22:22" x14ac:dyDescent="0.5">
      <c r="V19"/>
    </row>
    <row r="20" spans="22:22" x14ac:dyDescent="0.5">
      <c r="V20"/>
    </row>
    <row r="21" spans="22:22" x14ac:dyDescent="0.5">
      <c r="V21"/>
    </row>
    <row r="22" spans="22:22" x14ac:dyDescent="0.5">
      <c r="V22"/>
    </row>
    <row r="23" spans="22:22" x14ac:dyDescent="0.5">
      <c r="V23"/>
    </row>
    <row r="24" spans="22:22" x14ac:dyDescent="0.5">
      <c r="V24"/>
    </row>
    <row r="25" spans="22:22" x14ac:dyDescent="0.5">
      <c r="V25"/>
    </row>
    <row r="26" spans="22:22" x14ac:dyDescent="0.5">
      <c r="V26"/>
    </row>
    <row r="27" spans="22:22" x14ac:dyDescent="0.5">
      <c r="V27"/>
    </row>
    <row r="28" spans="22:22" x14ac:dyDescent="0.5">
      <c r="V28"/>
    </row>
    <row r="29" spans="22:22" x14ac:dyDescent="0.5">
      <c r="V29"/>
    </row>
    <row r="30" spans="22:22" x14ac:dyDescent="0.5">
      <c r="V30"/>
    </row>
    <row r="31" spans="22:22" x14ac:dyDescent="0.5">
      <c r="V31"/>
    </row>
    <row r="32" spans="22:22" x14ac:dyDescent="0.5">
      <c r="V32"/>
    </row>
    <row r="33" spans="22:22" x14ac:dyDescent="0.5">
      <c r="V33"/>
    </row>
    <row r="34" spans="22:22" x14ac:dyDescent="0.5">
      <c r="V34"/>
    </row>
    <row r="35" spans="22:22" x14ac:dyDescent="0.5">
      <c r="V35"/>
    </row>
    <row r="36" spans="22:22" x14ac:dyDescent="0.5">
      <c r="V36"/>
    </row>
    <row r="37" spans="22:22" x14ac:dyDescent="0.5">
      <c r="V37"/>
    </row>
    <row r="38" spans="22:22" x14ac:dyDescent="0.5">
      <c r="V38"/>
    </row>
    <row r="39" spans="22:22" x14ac:dyDescent="0.5">
      <c r="V39"/>
    </row>
    <row r="40" spans="22:22" x14ac:dyDescent="0.5">
      <c r="V40"/>
    </row>
    <row r="41" spans="22:22" x14ac:dyDescent="0.5">
      <c r="V41"/>
    </row>
    <row r="42" spans="22:22" x14ac:dyDescent="0.5">
      <c r="V42"/>
    </row>
    <row r="43" spans="22:22" x14ac:dyDescent="0.5">
      <c r="V43"/>
    </row>
    <row r="44" spans="22:22" x14ac:dyDescent="0.5">
      <c r="V44"/>
    </row>
    <row r="45" spans="22:22" x14ac:dyDescent="0.5">
      <c r="V45"/>
    </row>
    <row r="46" spans="22:22" x14ac:dyDescent="0.5">
      <c r="V46"/>
    </row>
    <row r="47" spans="22:22" x14ac:dyDescent="0.5">
      <c r="V47"/>
    </row>
    <row r="48" spans="22:22" x14ac:dyDescent="0.5">
      <c r="V48"/>
    </row>
    <row r="49" spans="22:22" x14ac:dyDescent="0.5">
      <c r="V49"/>
    </row>
    <row r="50" spans="22:22" x14ac:dyDescent="0.5">
      <c r="V50"/>
    </row>
    <row r="51" spans="22:22" x14ac:dyDescent="0.5">
      <c r="V51"/>
    </row>
    <row r="52" spans="22:22" x14ac:dyDescent="0.5">
      <c r="V52"/>
    </row>
    <row r="53" spans="22:22" x14ac:dyDescent="0.5">
      <c r="V53"/>
    </row>
    <row r="54" spans="22:22" x14ac:dyDescent="0.5">
      <c r="V54"/>
    </row>
    <row r="55" spans="22:22" x14ac:dyDescent="0.5">
      <c r="V55"/>
    </row>
    <row r="56" spans="22:22" x14ac:dyDescent="0.5">
      <c r="V56"/>
    </row>
    <row r="57" spans="22:22" x14ac:dyDescent="0.5">
      <c r="V57"/>
    </row>
    <row r="58" spans="22:22" x14ac:dyDescent="0.5">
      <c r="V58"/>
    </row>
    <row r="59" spans="22:22" x14ac:dyDescent="0.5">
      <c r="V59"/>
    </row>
    <row r="60" spans="22:22" x14ac:dyDescent="0.5">
      <c r="V60"/>
    </row>
    <row r="61" spans="22:22" x14ac:dyDescent="0.5">
      <c r="V61"/>
    </row>
    <row r="62" spans="22:22" x14ac:dyDescent="0.5">
      <c r="V62"/>
    </row>
    <row r="63" spans="22:22" x14ac:dyDescent="0.5">
      <c r="V63"/>
    </row>
    <row r="64" spans="22:22" x14ac:dyDescent="0.5">
      <c r="V64"/>
    </row>
    <row r="65" spans="22:22" x14ac:dyDescent="0.5">
      <c r="V65"/>
    </row>
    <row r="66" spans="22:22" x14ac:dyDescent="0.5">
      <c r="V66"/>
    </row>
    <row r="67" spans="22:22" x14ac:dyDescent="0.5">
      <c r="V67"/>
    </row>
    <row r="68" spans="22:22" x14ac:dyDescent="0.5">
      <c r="V68"/>
    </row>
    <row r="69" spans="22:22" x14ac:dyDescent="0.5">
      <c r="V69"/>
    </row>
    <row r="70" spans="22:22" x14ac:dyDescent="0.5">
      <c r="V70"/>
    </row>
    <row r="71" spans="22:22" x14ac:dyDescent="0.5">
      <c r="V71"/>
    </row>
    <row r="72" spans="22:22" x14ac:dyDescent="0.5">
      <c r="V72"/>
    </row>
    <row r="73" spans="22:22" x14ac:dyDescent="0.5">
      <c r="V73"/>
    </row>
    <row r="74" spans="22:22" x14ac:dyDescent="0.5">
      <c r="V74"/>
    </row>
    <row r="75" spans="22:22" x14ac:dyDescent="0.5">
      <c r="V75"/>
    </row>
    <row r="76" spans="22:22" x14ac:dyDescent="0.5">
      <c r="V76"/>
    </row>
    <row r="77" spans="22:22" x14ac:dyDescent="0.5">
      <c r="V77"/>
    </row>
    <row r="78" spans="22:22" x14ac:dyDescent="0.5">
      <c r="V78"/>
    </row>
    <row r="79" spans="22:22" x14ac:dyDescent="0.5">
      <c r="V79"/>
    </row>
    <row r="80" spans="22:22" x14ac:dyDescent="0.5">
      <c r="V80"/>
    </row>
    <row r="81" spans="22:22" x14ac:dyDescent="0.5">
      <c r="V81"/>
    </row>
    <row r="82" spans="22:22" x14ac:dyDescent="0.5">
      <c r="V82"/>
    </row>
    <row r="83" spans="22:22" x14ac:dyDescent="0.5">
      <c r="V83"/>
    </row>
    <row r="84" spans="22:22" x14ac:dyDescent="0.5">
      <c r="V84"/>
    </row>
    <row r="85" spans="22:22" x14ac:dyDescent="0.5">
      <c r="V85"/>
    </row>
    <row r="86" spans="22:22" x14ac:dyDescent="0.5">
      <c r="V86"/>
    </row>
    <row r="87" spans="22:22" x14ac:dyDescent="0.5">
      <c r="V87"/>
    </row>
    <row r="88" spans="22:22" x14ac:dyDescent="0.5">
      <c r="V88"/>
    </row>
    <row r="89" spans="22:22" x14ac:dyDescent="0.5">
      <c r="V89"/>
    </row>
    <row r="90" spans="22:22" x14ac:dyDescent="0.5">
      <c r="V90"/>
    </row>
    <row r="91" spans="22:22" x14ac:dyDescent="0.5">
      <c r="V91"/>
    </row>
    <row r="92" spans="22:22" x14ac:dyDescent="0.5">
      <c r="V92"/>
    </row>
    <row r="93" spans="22:22" x14ac:dyDescent="0.5">
      <c r="V93"/>
    </row>
    <row r="94" spans="22:22" x14ac:dyDescent="0.5">
      <c r="V94"/>
    </row>
    <row r="95" spans="22:22" x14ac:dyDescent="0.5">
      <c r="V95"/>
    </row>
    <row r="96" spans="22:22" x14ac:dyDescent="0.5">
      <c r="V96"/>
    </row>
    <row r="97" spans="22:22" x14ac:dyDescent="0.5">
      <c r="V97"/>
    </row>
    <row r="98" spans="22:22" x14ac:dyDescent="0.5">
      <c r="V98"/>
    </row>
    <row r="99" spans="22:22" x14ac:dyDescent="0.5">
      <c r="V99"/>
    </row>
    <row r="100" spans="22:22" x14ac:dyDescent="0.5">
      <c r="V100"/>
    </row>
    <row r="101" spans="22:22" x14ac:dyDescent="0.5">
      <c r="V101"/>
    </row>
    <row r="102" spans="22:22" x14ac:dyDescent="0.5">
      <c r="V102"/>
    </row>
    <row r="103" spans="22:22" x14ac:dyDescent="0.5">
      <c r="V103"/>
    </row>
    <row r="104" spans="22:22" x14ac:dyDescent="0.5">
      <c r="V104"/>
    </row>
    <row r="105" spans="22:22" x14ac:dyDescent="0.5">
      <c r="V105"/>
    </row>
    <row r="106" spans="22:22" x14ac:dyDescent="0.5">
      <c r="V106"/>
    </row>
    <row r="107" spans="22:22" x14ac:dyDescent="0.5">
      <c r="V107"/>
    </row>
    <row r="108" spans="22:22" x14ac:dyDescent="0.5">
      <c r="V108"/>
    </row>
    <row r="109" spans="22:22" x14ac:dyDescent="0.5">
      <c r="V109"/>
    </row>
    <row r="110" spans="22:22" x14ac:dyDescent="0.5">
      <c r="V110"/>
    </row>
    <row r="111" spans="22:22" x14ac:dyDescent="0.5">
      <c r="V111"/>
    </row>
    <row r="112" spans="22:22" x14ac:dyDescent="0.5">
      <c r="V112"/>
    </row>
    <row r="113" spans="22:22" x14ac:dyDescent="0.5">
      <c r="V113"/>
    </row>
    <row r="114" spans="22:22" x14ac:dyDescent="0.5">
      <c r="V114"/>
    </row>
    <row r="115" spans="22:22" x14ac:dyDescent="0.5">
      <c r="V115"/>
    </row>
    <row r="116" spans="22:22" x14ac:dyDescent="0.5">
      <c r="V116"/>
    </row>
    <row r="117" spans="22:22" x14ac:dyDescent="0.5">
      <c r="V117"/>
    </row>
    <row r="118" spans="22:22" x14ac:dyDescent="0.5">
      <c r="V118"/>
    </row>
    <row r="119" spans="22:22" x14ac:dyDescent="0.5">
      <c r="V119"/>
    </row>
    <row r="120" spans="22:22" x14ac:dyDescent="0.5">
      <c r="V120"/>
    </row>
    <row r="121" spans="22:22" x14ac:dyDescent="0.5">
      <c r="V121"/>
    </row>
    <row r="122" spans="22:22" x14ac:dyDescent="0.5">
      <c r="V122"/>
    </row>
    <row r="123" spans="22:22" x14ac:dyDescent="0.5">
      <c r="V123"/>
    </row>
    <row r="124" spans="22:22" x14ac:dyDescent="0.5">
      <c r="V124"/>
    </row>
    <row r="125" spans="22:22" x14ac:dyDescent="0.5">
      <c r="V125"/>
    </row>
    <row r="126" spans="22:22" x14ac:dyDescent="0.5">
      <c r="V126"/>
    </row>
    <row r="127" spans="22:22" x14ac:dyDescent="0.5">
      <c r="V127"/>
    </row>
    <row r="128" spans="22:22" x14ac:dyDescent="0.5">
      <c r="V128"/>
    </row>
    <row r="129" spans="22:22" x14ac:dyDescent="0.5">
      <c r="V129"/>
    </row>
    <row r="130" spans="22:22" x14ac:dyDescent="0.5">
      <c r="V130"/>
    </row>
    <row r="131" spans="22:22" x14ac:dyDescent="0.5">
      <c r="V131"/>
    </row>
    <row r="132" spans="22:22" x14ac:dyDescent="0.5">
      <c r="V132"/>
    </row>
    <row r="133" spans="22:22" x14ac:dyDescent="0.5">
      <c r="V133"/>
    </row>
    <row r="134" spans="22:22" x14ac:dyDescent="0.5">
      <c r="V134"/>
    </row>
    <row r="135" spans="22:22" x14ac:dyDescent="0.5">
      <c r="V135"/>
    </row>
    <row r="136" spans="22:22" x14ac:dyDescent="0.5">
      <c r="V136"/>
    </row>
    <row r="137" spans="22:22" x14ac:dyDescent="0.5">
      <c r="V137"/>
    </row>
    <row r="138" spans="22:22" x14ac:dyDescent="0.5">
      <c r="V138"/>
    </row>
    <row r="139" spans="22:22" x14ac:dyDescent="0.5">
      <c r="V139"/>
    </row>
    <row r="140" spans="22:22" x14ac:dyDescent="0.5">
      <c r="V140"/>
    </row>
    <row r="141" spans="22:22" x14ac:dyDescent="0.5">
      <c r="V141"/>
    </row>
    <row r="142" spans="22:22" x14ac:dyDescent="0.5">
      <c r="V142"/>
    </row>
    <row r="143" spans="22:22" x14ac:dyDescent="0.5">
      <c r="V143"/>
    </row>
    <row r="144" spans="22:22" x14ac:dyDescent="0.5">
      <c r="V144"/>
    </row>
    <row r="145" spans="22:22" x14ac:dyDescent="0.5">
      <c r="V145"/>
    </row>
    <row r="146" spans="22:22" x14ac:dyDescent="0.5">
      <c r="V146"/>
    </row>
    <row r="147" spans="22:22" x14ac:dyDescent="0.5">
      <c r="V147"/>
    </row>
    <row r="148" spans="22:22" x14ac:dyDescent="0.5">
      <c r="V148"/>
    </row>
    <row r="149" spans="22:22" x14ac:dyDescent="0.5">
      <c r="V149"/>
    </row>
    <row r="150" spans="22:22" x14ac:dyDescent="0.5">
      <c r="V150"/>
    </row>
    <row r="151" spans="22:22" x14ac:dyDescent="0.5">
      <c r="V151"/>
    </row>
    <row r="152" spans="22:22" x14ac:dyDescent="0.5">
      <c r="V152"/>
    </row>
    <row r="153" spans="22:22" x14ac:dyDescent="0.5">
      <c r="V153"/>
    </row>
    <row r="154" spans="22:22" x14ac:dyDescent="0.5">
      <c r="V154"/>
    </row>
    <row r="155" spans="22:22" x14ac:dyDescent="0.5">
      <c r="V155"/>
    </row>
    <row r="156" spans="22:22" x14ac:dyDescent="0.5">
      <c r="V156"/>
    </row>
    <row r="157" spans="22:22" x14ac:dyDescent="0.5">
      <c r="V157"/>
    </row>
    <row r="158" spans="22:22" x14ac:dyDescent="0.5">
      <c r="V158"/>
    </row>
    <row r="159" spans="22:22" x14ac:dyDescent="0.5">
      <c r="V159"/>
    </row>
    <row r="160" spans="22:22" x14ac:dyDescent="0.5">
      <c r="V160"/>
    </row>
    <row r="161" spans="22:22" x14ac:dyDescent="0.5">
      <c r="V161"/>
    </row>
    <row r="162" spans="22:22" x14ac:dyDescent="0.5">
      <c r="V162"/>
    </row>
    <row r="163" spans="22:22" x14ac:dyDescent="0.5">
      <c r="V163"/>
    </row>
    <row r="164" spans="22:22" x14ac:dyDescent="0.5">
      <c r="V164"/>
    </row>
    <row r="165" spans="22:22" x14ac:dyDescent="0.5">
      <c r="V165"/>
    </row>
    <row r="166" spans="22:22" x14ac:dyDescent="0.5">
      <c r="V166"/>
    </row>
    <row r="167" spans="22:22" x14ac:dyDescent="0.5">
      <c r="V167"/>
    </row>
    <row r="168" spans="22:22" x14ac:dyDescent="0.5">
      <c r="V168"/>
    </row>
    <row r="169" spans="22:22" x14ac:dyDescent="0.5">
      <c r="V169"/>
    </row>
    <row r="170" spans="22:22" x14ac:dyDescent="0.5">
      <c r="V170"/>
    </row>
    <row r="171" spans="22:22" x14ac:dyDescent="0.5">
      <c r="V171"/>
    </row>
    <row r="172" spans="22:22" x14ac:dyDescent="0.5">
      <c r="V172"/>
    </row>
    <row r="173" spans="22:22" x14ac:dyDescent="0.5">
      <c r="V173"/>
    </row>
    <row r="174" spans="22:22" x14ac:dyDescent="0.5">
      <c r="V174"/>
    </row>
    <row r="175" spans="22:22" x14ac:dyDescent="0.5">
      <c r="V175"/>
    </row>
    <row r="176" spans="22:22" x14ac:dyDescent="0.5">
      <c r="V176"/>
    </row>
    <row r="177" spans="22:22" x14ac:dyDescent="0.5">
      <c r="V177"/>
    </row>
    <row r="178" spans="22:22" x14ac:dyDescent="0.5">
      <c r="V178"/>
    </row>
    <row r="179" spans="22:22" x14ac:dyDescent="0.5">
      <c r="V179"/>
    </row>
    <row r="180" spans="22:22" x14ac:dyDescent="0.5">
      <c r="V180"/>
    </row>
    <row r="181" spans="22:22" x14ac:dyDescent="0.5">
      <c r="V181"/>
    </row>
    <row r="182" spans="22:22" x14ac:dyDescent="0.5">
      <c r="V182"/>
    </row>
    <row r="183" spans="22:22" x14ac:dyDescent="0.5">
      <c r="V183"/>
    </row>
    <row r="184" spans="22:22" x14ac:dyDescent="0.5">
      <c r="V184"/>
    </row>
    <row r="185" spans="22:22" x14ac:dyDescent="0.5">
      <c r="V185"/>
    </row>
    <row r="186" spans="22:22" x14ac:dyDescent="0.5">
      <c r="V186"/>
    </row>
    <row r="187" spans="22:22" x14ac:dyDescent="0.5">
      <c r="V187"/>
    </row>
    <row r="188" spans="22:22" x14ac:dyDescent="0.5">
      <c r="V188"/>
    </row>
    <row r="189" spans="22:22" x14ac:dyDescent="0.5">
      <c r="V189"/>
    </row>
    <row r="190" spans="22:22" x14ac:dyDescent="0.5">
      <c r="V190"/>
    </row>
    <row r="191" spans="22:22" x14ac:dyDescent="0.5">
      <c r="V191"/>
    </row>
    <row r="192" spans="22:22" x14ac:dyDescent="0.5">
      <c r="V192"/>
    </row>
    <row r="193" spans="22:22" x14ac:dyDescent="0.5">
      <c r="V193"/>
    </row>
    <row r="194" spans="22:22" x14ac:dyDescent="0.5">
      <c r="V194"/>
    </row>
    <row r="195" spans="22:22" x14ac:dyDescent="0.5">
      <c r="V195"/>
    </row>
    <row r="196" spans="22:22" x14ac:dyDescent="0.5">
      <c r="V196"/>
    </row>
    <row r="197" spans="22:22" x14ac:dyDescent="0.5">
      <c r="V197"/>
    </row>
    <row r="198" spans="22:22" x14ac:dyDescent="0.5">
      <c r="V198"/>
    </row>
    <row r="199" spans="22:22" x14ac:dyDescent="0.5">
      <c r="V199"/>
    </row>
    <row r="200" spans="22:22" x14ac:dyDescent="0.5">
      <c r="V200"/>
    </row>
    <row r="201" spans="22:22" x14ac:dyDescent="0.5">
      <c r="V201"/>
    </row>
    <row r="202" spans="22:22" x14ac:dyDescent="0.5">
      <c r="V202"/>
    </row>
    <row r="203" spans="22:22" x14ac:dyDescent="0.5">
      <c r="V203"/>
    </row>
    <row r="204" spans="22:22" x14ac:dyDescent="0.5">
      <c r="V204"/>
    </row>
    <row r="205" spans="22:22" x14ac:dyDescent="0.5">
      <c r="V205"/>
    </row>
    <row r="206" spans="22:22" x14ac:dyDescent="0.5">
      <c r="V206"/>
    </row>
    <row r="207" spans="22:22" x14ac:dyDescent="0.5">
      <c r="V207"/>
    </row>
    <row r="208" spans="22:22" x14ac:dyDescent="0.5">
      <c r="V208"/>
    </row>
    <row r="209" spans="22:22" x14ac:dyDescent="0.5">
      <c r="V209"/>
    </row>
    <row r="210" spans="22:22" x14ac:dyDescent="0.5">
      <c r="V210"/>
    </row>
    <row r="211" spans="22:22" x14ac:dyDescent="0.5">
      <c r="V211"/>
    </row>
    <row r="212" spans="22:22" x14ac:dyDescent="0.5">
      <c r="V212"/>
    </row>
    <row r="213" spans="22:22" x14ac:dyDescent="0.5">
      <c r="V213"/>
    </row>
    <row r="214" spans="22:22" x14ac:dyDescent="0.5">
      <c r="V214"/>
    </row>
    <row r="215" spans="22:22" x14ac:dyDescent="0.5">
      <c r="V215"/>
    </row>
    <row r="216" spans="22:22" x14ac:dyDescent="0.5">
      <c r="V216"/>
    </row>
    <row r="217" spans="22:22" x14ac:dyDescent="0.5">
      <c r="V217"/>
    </row>
    <row r="218" spans="22:22" x14ac:dyDescent="0.5">
      <c r="V218"/>
    </row>
    <row r="219" spans="22:22" x14ac:dyDescent="0.5">
      <c r="V219"/>
    </row>
    <row r="220" spans="22:22" x14ac:dyDescent="0.5">
      <c r="V220"/>
    </row>
    <row r="221" spans="22:22" x14ac:dyDescent="0.5">
      <c r="V221"/>
    </row>
    <row r="222" spans="22:22" x14ac:dyDescent="0.5">
      <c r="V222"/>
    </row>
    <row r="223" spans="22:22" x14ac:dyDescent="0.5">
      <c r="V223"/>
    </row>
    <row r="224" spans="22:22" x14ac:dyDescent="0.5">
      <c r="V224"/>
    </row>
    <row r="225" spans="22:22" x14ac:dyDescent="0.5">
      <c r="V225"/>
    </row>
    <row r="226" spans="22:22" x14ac:dyDescent="0.5">
      <c r="V226"/>
    </row>
    <row r="227" spans="22:22" x14ac:dyDescent="0.5">
      <c r="V227"/>
    </row>
    <row r="228" spans="22:22" x14ac:dyDescent="0.5">
      <c r="V228"/>
    </row>
    <row r="229" spans="22:22" x14ac:dyDescent="0.5">
      <c r="V229"/>
    </row>
    <row r="230" spans="22:22" x14ac:dyDescent="0.5">
      <c r="V230"/>
    </row>
    <row r="231" spans="22:22" x14ac:dyDescent="0.5">
      <c r="V231"/>
    </row>
    <row r="232" spans="22:22" x14ac:dyDescent="0.5">
      <c r="V232"/>
    </row>
    <row r="233" spans="22:22" x14ac:dyDescent="0.5">
      <c r="V233"/>
    </row>
    <row r="234" spans="22:22" x14ac:dyDescent="0.5">
      <c r="V234"/>
    </row>
    <row r="235" spans="22:22" x14ac:dyDescent="0.5">
      <c r="V235"/>
    </row>
    <row r="236" spans="22:22" x14ac:dyDescent="0.5">
      <c r="V236"/>
    </row>
    <row r="237" spans="22:22" x14ac:dyDescent="0.5">
      <c r="V237"/>
    </row>
    <row r="238" spans="22:22" x14ac:dyDescent="0.5">
      <c r="V238"/>
    </row>
    <row r="239" spans="22:22" x14ac:dyDescent="0.5">
      <c r="V239"/>
    </row>
    <row r="240" spans="22:22" x14ac:dyDescent="0.5">
      <c r="V240"/>
    </row>
    <row r="241" spans="22:22" x14ac:dyDescent="0.5">
      <c r="V241"/>
    </row>
    <row r="242" spans="22:22" x14ac:dyDescent="0.5">
      <c r="V242"/>
    </row>
    <row r="243" spans="22:22" x14ac:dyDescent="0.5">
      <c r="V243"/>
    </row>
    <row r="244" spans="22:22" x14ac:dyDescent="0.5">
      <c r="V244"/>
    </row>
    <row r="245" spans="22:22" x14ac:dyDescent="0.5">
      <c r="V245"/>
    </row>
    <row r="246" spans="22:22" x14ac:dyDescent="0.5">
      <c r="V246"/>
    </row>
    <row r="247" spans="22:22" x14ac:dyDescent="0.5">
      <c r="V247"/>
    </row>
    <row r="248" spans="22:22" x14ac:dyDescent="0.5">
      <c r="V248"/>
    </row>
    <row r="249" spans="22:22" x14ac:dyDescent="0.5">
      <c r="V249"/>
    </row>
    <row r="250" spans="22:22" x14ac:dyDescent="0.5">
      <c r="V250"/>
    </row>
    <row r="251" spans="22:22" x14ac:dyDescent="0.5">
      <c r="V251"/>
    </row>
    <row r="252" spans="22:22" x14ac:dyDescent="0.5">
      <c r="V252"/>
    </row>
    <row r="253" spans="22:22" x14ac:dyDescent="0.5">
      <c r="V253"/>
    </row>
    <row r="254" spans="22:22" x14ac:dyDescent="0.5">
      <c r="V254"/>
    </row>
    <row r="255" spans="22:22" x14ac:dyDescent="0.5">
      <c r="V255"/>
    </row>
    <row r="256" spans="22:22" x14ac:dyDescent="0.5">
      <c r="V256"/>
    </row>
    <row r="257" spans="2:22" x14ac:dyDescent="0.5">
      <c r="V257"/>
    </row>
    <row r="258" spans="2:22" x14ac:dyDescent="0.5">
      <c r="V258"/>
    </row>
    <row r="264" spans="2:22" x14ac:dyDescent="0.5">
      <c r="V264"/>
    </row>
    <row r="265" spans="2:22" x14ac:dyDescent="0.5">
      <c r="V265"/>
    </row>
    <row r="269" spans="2:22" x14ac:dyDescent="0.5">
      <c r="V269"/>
    </row>
    <row r="270" spans="2:22" x14ac:dyDescent="0.5">
      <c r="V270"/>
    </row>
    <row r="271" spans="2:22" x14ac:dyDescent="0.5">
      <c r="V271"/>
    </row>
    <row r="272" spans="2:22" x14ac:dyDescent="0.5">
      <c r="B272" s="4"/>
      <c r="C272" s="4"/>
      <c r="D272" s="4"/>
      <c r="E272" s="4"/>
      <c r="F272" s="4"/>
      <c r="G272" s="4"/>
      <c r="H272" s="4"/>
      <c r="I272" s="4"/>
      <c r="J272" s="4"/>
      <c r="K272" s="4"/>
      <c r="L272" s="4"/>
      <c r="M272" s="4"/>
      <c r="N272" s="4"/>
      <c r="O272" s="4"/>
      <c r="P272" s="4"/>
      <c r="Q272" s="4"/>
      <c r="R272" s="4"/>
      <c r="S272" s="4"/>
      <c r="T272" s="4"/>
      <c r="U272" s="4"/>
      <c r="V272"/>
    </row>
    <row r="273" spans="2:22" x14ac:dyDescent="0.5">
      <c r="B273" s="4"/>
      <c r="C273" s="4"/>
      <c r="D273" s="4"/>
      <c r="E273" s="4"/>
      <c r="F273" s="4"/>
      <c r="G273" s="4"/>
      <c r="H273" s="4"/>
      <c r="I273" s="4"/>
      <c r="J273" s="4"/>
      <c r="K273" s="4"/>
      <c r="L273" s="4"/>
      <c r="M273" s="4"/>
      <c r="N273" s="4"/>
      <c r="O273" s="4"/>
      <c r="P273" s="4"/>
      <c r="Q273" s="4"/>
      <c r="R273" s="4"/>
      <c r="S273" s="4"/>
      <c r="T273" s="4"/>
      <c r="U273" s="4"/>
      <c r="V273"/>
    </row>
    <row r="274" spans="2:22" x14ac:dyDescent="0.5">
      <c r="B274" s="4"/>
      <c r="C274" s="4"/>
      <c r="D274" s="4"/>
      <c r="E274" s="4"/>
      <c r="F274" s="4"/>
      <c r="G274" s="4"/>
      <c r="H274" s="4"/>
      <c r="I274" s="4"/>
      <c r="J274" s="4"/>
      <c r="K274" s="4"/>
      <c r="L274" s="4"/>
      <c r="M274" s="4"/>
      <c r="N274" s="4"/>
      <c r="O274" s="4"/>
      <c r="P274" s="4"/>
      <c r="Q274" s="4"/>
      <c r="R274" s="4"/>
      <c r="S274" s="4"/>
      <c r="T274" s="4"/>
      <c r="U274" s="4"/>
      <c r="V274"/>
    </row>
    <row r="307" spans="2:21" ht="101.25" x14ac:dyDescent="0.5">
      <c r="B307" s="2" t="s">
        <v>89</v>
      </c>
      <c r="C307" s="2" t="s">
        <v>90</v>
      </c>
      <c r="D307" s="2" t="s">
        <v>91</v>
      </c>
      <c r="E307" s="2" t="s">
        <v>92</v>
      </c>
      <c r="F307" s="2" t="s">
        <v>93</v>
      </c>
      <c r="G307" s="2" t="s">
        <v>94</v>
      </c>
      <c r="H307" s="2" t="s">
        <v>95</v>
      </c>
      <c r="I307" s="2" t="s">
        <v>96</v>
      </c>
      <c r="J307" s="2" t="s">
        <v>97</v>
      </c>
      <c r="K307" s="2" t="s">
        <v>98</v>
      </c>
      <c r="L307" s="2" t="s">
        <v>99</v>
      </c>
      <c r="M307" s="2" t="s">
        <v>100</v>
      </c>
      <c r="N307" s="2" t="s">
        <v>101</v>
      </c>
      <c r="O307" s="2" t="s">
        <v>102</v>
      </c>
      <c r="P307" s="2" t="s">
        <v>103</v>
      </c>
      <c r="Q307" s="2" t="s">
        <v>104</v>
      </c>
      <c r="R307" s="2" t="s">
        <v>105</v>
      </c>
      <c r="S307" s="2" t="s">
        <v>106</v>
      </c>
      <c r="T307" s="2" t="s">
        <v>107</v>
      </c>
      <c r="U307" s="2" t="s">
        <v>108</v>
      </c>
    </row>
    <row r="308" spans="2:21" x14ac:dyDescent="0.5">
      <c r="B308" s="2" t="e">
        <f>AVERAGE(B7:B18)</f>
        <v>#DIV/0!</v>
      </c>
      <c r="C308" s="2" t="e">
        <f t="shared" ref="C308:U308" si="0">AVERAGE(C7:C18)</f>
        <v>#DIV/0!</v>
      </c>
      <c r="D308" s="2" t="e">
        <f t="shared" si="0"/>
        <v>#DIV/0!</v>
      </c>
      <c r="E308" s="2" t="e">
        <f t="shared" si="0"/>
        <v>#DIV/0!</v>
      </c>
      <c r="F308" s="2" t="e">
        <f t="shared" si="0"/>
        <v>#DIV/0!</v>
      </c>
      <c r="G308" s="2" t="e">
        <f t="shared" si="0"/>
        <v>#DIV/0!</v>
      </c>
      <c r="H308" s="2" t="e">
        <f t="shared" si="0"/>
        <v>#DIV/0!</v>
      </c>
      <c r="I308" s="2" t="e">
        <f t="shared" si="0"/>
        <v>#DIV/0!</v>
      </c>
      <c r="J308" s="2" t="e">
        <f t="shared" si="0"/>
        <v>#DIV/0!</v>
      </c>
      <c r="K308" s="2" t="e">
        <f t="shared" si="0"/>
        <v>#DIV/0!</v>
      </c>
      <c r="L308" s="2" t="e">
        <f t="shared" si="0"/>
        <v>#DIV/0!</v>
      </c>
      <c r="M308" s="2" t="e">
        <f t="shared" si="0"/>
        <v>#DIV/0!</v>
      </c>
      <c r="N308" s="2" t="e">
        <f t="shared" si="0"/>
        <v>#DIV/0!</v>
      </c>
      <c r="O308" s="2" t="e">
        <f t="shared" si="0"/>
        <v>#DIV/0!</v>
      </c>
      <c r="P308" s="2" t="e">
        <f t="shared" si="0"/>
        <v>#DIV/0!</v>
      </c>
      <c r="Q308" s="2" t="e">
        <f t="shared" si="0"/>
        <v>#DIV/0!</v>
      </c>
      <c r="R308" s="2" t="e">
        <f t="shared" si="0"/>
        <v>#DIV/0!</v>
      </c>
      <c r="S308" s="2" t="e">
        <f t="shared" si="0"/>
        <v>#DIV/0!</v>
      </c>
      <c r="T308" s="2" t="e">
        <f t="shared" si="0"/>
        <v>#DIV/0!</v>
      </c>
      <c r="U308" s="2" t="e">
        <f t="shared" si="0"/>
        <v>#DIV/0!</v>
      </c>
    </row>
    <row r="309" spans="2:21" x14ac:dyDescent="0.5">
      <c r="B309" s="2" t="e">
        <f>AVERAGE(B19:B30)</f>
        <v>#DIV/0!</v>
      </c>
      <c r="C309" s="2" t="e">
        <f t="shared" ref="C309:U309" si="1">AVERAGE(C19:C30)</f>
        <v>#DIV/0!</v>
      </c>
      <c r="D309" s="2" t="e">
        <f t="shared" si="1"/>
        <v>#DIV/0!</v>
      </c>
      <c r="E309" s="2" t="e">
        <f t="shared" si="1"/>
        <v>#DIV/0!</v>
      </c>
      <c r="F309" s="2" t="e">
        <f t="shared" si="1"/>
        <v>#DIV/0!</v>
      </c>
      <c r="G309" s="2" t="e">
        <f t="shared" si="1"/>
        <v>#DIV/0!</v>
      </c>
      <c r="H309" s="2" t="e">
        <f t="shared" si="1"/>
        <v>#DIV/0!</v>
      </c>
      <c r="I309" s="2" t="e">
        <f t="shared" si="1"/>
        <v>#DIV/0!</v>
      </c>
      <c r="J309" s="2" t="e">
        <f t="shared" si="1"/>
        <v>#DIV/0!</v>
      </c>
      <c r="K309" s="2" t="e">
        <f t="shared" si="1"/>
        <v>#DIV/0!</v>
      </c>
      <c r="L309" s="2" t="e">
        <f t="shared" si="1"/>
        <v>#DIV/0!</v>
      </c>
      <c r="M309" s="2" t="e">
        <f t="shared" si="1"/>
        <v>#DIV/0!</v>
      </c>
      <c r="N309" s="2" t="e">
        <f t="shared" si="1"/>
        <v>#DIV/0!</v>
      </c>
      <c r="O309" s="2" t="e">
        <f t="shared" si="1"/>
        <v>#DIV/0!</v>
      </c>
      <c r="P309" s="2" t="e">
        <f t="shared" si="1"/>
        <v>#DIV/0!</v>
      </c>
      <c r="Q309" s="2" t="e">
        <f t="shared" si="1"/>
        <v>#DIV/0!</v>
      </c>
      <c r="R309" s="2" t="e">
        <f t="shared" si="1"/>
        <v>#DIV/0!</v>
      </c>
      <c r="S309" s="2" t="e">
        <f t="shared" si="1"/>
        <v>#DIV/0!</v>
      </c>
      <c r="T309" s="2" t="e">
        <f t="shared" si="1"/>
        <v>#DIV/0!</v>
      </c>
      <c r="U309" s="2" t="e">
        <f t="shared" si="1"/>
        <v>#DIV/0!</v>
      </c>
    </row>
    <row r="310" spans="2:21" x14ac:dyDescent="0.5">
      <c r="B310" s="2" t="e">
        <f>AVERAGE(B31:B42)</f>
        <v>#DIV/0!</v>
      </c>
      <c r="C310" s="2" t="e">
        <f t="shared" ref="C310:U310" si="2">AVERAGE(C31:C42)</f>
        <v>#DIV/0!</v>
      </c>
      <c r="D310" s="2" t="e">
        <f t="shared" si="2"/>
        <v>#DIV/0!</v>
      </c>
      <c r="E310" s="2" t="e">
        <f t="shared" si="2"/>
        <v>#DIV/0!</v>
      </c>
      <c r="F310" s="2" t="e">
        <f t="shared" si="2"/>
        <v>#DIV/0!</v>
      </c>
      <c r="G310" s="2" t="e">
        <f t="shared" si="2"/>
        <v>#DIV/0!</v>
      </c>
      <c r="H310" s="2" t="e">
        <f t="shared" si="2"/>
        <v>#DIV/0!</v>
      </c>
      <c r="I310" s="2" t="e">
        <f t="shared" si="2"/>
        <v>#DIV/0!</v>
      </c>
      <c r="J310" s="2" t="e">
        <f t="shared" si="2"/>
        <v>#DIV/0!</v>
      </c>
      <c r="K310" s="2" t="e">
        <f t="shared" si="2"/>
        <v>#DIV/0!</v>
      </c>
      <c r="L310" s="2" t="e">
        <f t="shared" si="2"/>
        <v>#DIV/0!</v>
      </c>
      <c r="M310" s="2" t="e">
        <f t="shared" si="2"/>
        <v>#DIV/0!</v>
      </c>
      <c r="N310" s="2" t="e">
        <f t="shared" si="2"/>
        <v>#DIV/0!</v>
      </c>
      <c r="O310" s="2" t="e">
        <f t="shared" si="2"/>
        <v>#DIV/0!</v>
      </c>
      <c r="P310" s="2" t="e">
        <f t="shared" si="2"/>
        <v>#DIV/0!</v>
      </c>
      <c r="Q310" s="2" t="e">
        <f t="shared" si="2"/>
        <v>#DIV/0!</v>
      </c>
      <c r="R310" s="2" t="e">
        <f t="shared" si="2"/>
        <v>#DIV/0!</v>
      </c>
      <c r="S310" s="2" t="e">
        <f t="shared" si="2"/>
        <v>#DIV/0!</v>
      </c>
      <c r="T310" s="2" t="e">
        <f t="shared" si="2"/>
        <v>#DIV/0!</v>
      </c>
      <c r="U310" s="2" t="e">
        <f t="shared" si="2"/>
        <v>#DIV/0!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/>
  <dimension ref="A1:V316"/>
  <sheetViews>
    <sheetView zoomScale="48" workbookViewId="0">
      <selection activeCell="I10" sqref="I10"/>
    </sheetView>
  </sheetViews>
  <sheetFormatPr baseColWidth="10" defaultColWidth="3.5546875" defaultRowHeight="33.75" x14ac:dyDescent="0.5"/>
  <cols>
    <col min="1" max="1" width="40.609375" style="1" customWidth="1"/>
    <col min="2" max="22" width="15.83203125" style="2" customWidth="1"/>
  </cols>
  <sheetData>
    <row r="1" spans="1:21" customFormat="1" x14ac:dyDescent="0.5">
      <c r="A1" s="1"/>
      <c r="B1" s="2"/>
      <c r="C1" s="2"/>
      <c r="D1" s="2"/>
      <c r="E1" s="5"/>
      <c r="F1" s="2"/>
      <c r="G1" s="2"/>
      <c r="H1" s="2"/>
      <c r="I1" s="2"/>
      <c r="J1" s="5"/>
      <c r="K1" s="2"/>
      <c r="L1" s="2"/>
      <c r="M1" s="2"/>
      <c r="N1" s="2"/>
      <c r="O1" s="2"/>
      <c r="P1" s="2"/>
      <c r="Q1" s="2"/>
      <c r="R1" s="2"/>
      <c r="S1" s="2"/>
      <c r="T1" s="2"/>
      <c r="U1" s="2"/>
    </row>
    <row r="2" spans="1:21" s="3" customFormat="1" x14ac:dyDescent="0.5">
      <c r="E2" s="6"/>
      <c r="J2" s="6"/>
    </row>
    <row r="3" spans="1:21" customFormat="1" x14ac:dyDescent="0.5">
      <c r="A3" s="1"/>
      <c r="B3" s="2"/>
      <c r="C3" s="2"/>
      <c r="D3" s="2"/>
      <c r="E3" s="5"/>
      <c r="F3" s="2"/>
      <c r="G3" s="2"/>
      <c r="H3" s="2"/>
      <c r="I3" s="2"/>
      <c r="J3" s="5"/>
      <c r="K3" s="2"/>
      <c r="L3" s="2"/>
      <c r="M3" s="2"/>
      <c r="N3" s="2"/>
      <c r="O3" s="2"/>
      <c r="P3" s="2"/>
      <c r="Q3" s="2"/>
      <c r="R3" s="2"/>
      <c r="S3" s="2"/>
      <c r="T3" s="2"/>
      <c r="U3" s="2"/>
    </row>
    <row r="4" spans="1:21" customFormat="1" x14ac:dyDescent="0.5">
      <c r="A4" s="1"/>
      <c r="B4" s="2"/>
      <c r="C4" s="2"/>
      <c r="D4" s="2"/>
      <c r="E4" s="5"/>
      <c r="F4" s="2"/>
      <c r="G4" s="2"/>
      <c r="H4" s="2"/>
      <c r="I4" s="2"/>
      <c r="J4" s="5"/>
      <c r="K4" s="2"/>
      <c r="L4" s="2"/>
      <c r="M4" s="2"/>
      <c r="N4" s="2"/>
      <c r="O4" s="2"/>
      <c r="P4" s="2"/>
      <c r="Q4" s="2"/>
      <c r="R4" s="2"/>
      <c r="S4" s="2"/>
      <c r="T4" s="2"/>
      <c r="U4" s="2"/>
    </row>
    <row r="5" spans="1:21" customFormat="1" x14ac:dyDescent="0.5">
      <c r="A5" s="1"/>
      <c r="B5" s="2"/>
      <c r="C5" s="2"/>
      <c r="D5" s="2"/>
      <c r="E5" s="5"/>
      <c r="F5" s="2"/>
      <c r="G5" s="2"/>
      <c r="H5" s="2"/>
      <c r="I5" s="2"/>
      <c r="J5" s="5"/>
      <c r="K5" s="2"/>
      <c r="L5" s="2"/>
      <c r="M5" s="2"/>
      <c r="N5" s="2"/>
      <c r="O5" s="2"/>
      <c r="P5" s="2"/>
      <c r="Q5" s="2"/>
      <c r="R5" s="2"/>
      <c r="S5" s="2"/>
      <c r="T5" s="2"/>
      <c r="U5" s="2"/>
    </row>
    <row r="6" spans="1:21" customFormat="1" x14ac:dyDescent="0.5">
      <c r="A6" s="1"/>
      <c r="B6" s="2"/>
      <c r="C6" s="2"/>
      <c r="D6" s="2"/>
      <c r="E6" s="5"/>
      <c r="F6" s="2"/>
      <c r="G6" s="2"/>
      <c r="H6" s="2"/>
      <c r="I6" s="2"/>
      <c r="J6" s="5"/>
      <c r="K6" s="2"/>
      <c r="L6" s="2"/>
      <c r="M6" s="2"/>
      <c r="N6" s="2"/>
      <c r="O6" s="2"/>
      <c r="P6" s="2"/>
      <c r="Q6" s="2"/>
      <c r="R6" s="2"/>
      <c r="S6" s="2"/>
      <c r="T6" s="2"/>
      <c r="U6" s="2"/>
    </row>
    <row r="7" spans="1:21" customFormat="1" x14ac:dyDescent="0.5">
      <c r="A7" s="1"/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</row>
    <row r="8" spans="1:21" customFormat="1" x14ac:dyDescent="0.5">
      <c r="A8" s="1"/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</row>
    <row r="9" spans="1:21" customFormat="1" x14ac:dyDescent="0.5">
      <c r="A9" s="1"/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</row>
    <row r="10" spans="1:21" customFormat="1" x14ac:dyDescent="0.5">
      <c r="A10" s="1"/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</row>
    <row r="11" spans="1:21" customFormat="1" x14ac:dyDescent="0.5">
      <c r="A11" s="1"/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</row>
    <row r="12" spans="1:21" customFormat="1" x14ac:dyDescent="0.5">
      <c r="A12" s="1"/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</row>
    <row r="13" spans="1:21" customFormat="1" x14ac:dyDescent="0.5">
      <c r="A13" s="1"/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</row>
    <row r="14" spans="1:21" customFormat="1" x14ac:dyDescent="0.5">
      <c r="A14" s="1"/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</row>
    <row r="15" spans="1:21" customFormat="1" x14ac:dyDescent="0.5">
      <c r="A15" s="1"/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</row>
    <row r="16" spans="1:21" customFormat="1" x14ac:dyDescent="0.5">
      <c r="A16" s="1"/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</row>
    <row r="17" spans="1:21" customFormat="1" x14ac:dyDescent="0.5">
      <c r="A17" s="1"/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</row>
    <row r="18" spans="1:21" customFormat="1" x14ac:dyDescent="0.5">
      <c r="A18" s="1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</row>
    <row r="19" spans="1:21" customFormat="1" x14ac:dyDescent="0.5">
      <c r="A19" s="1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</row>
    <row r="20" spans="1:21" customFormat="1" x14ac:dyDescent="0.5">
      <c r="A20" s="1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</row>
    <row r="21" spans="1:21" customFormat="1" x14ac:dyDescent="0.5">
      <c r="A21" s="1"/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</row>
    <row r="22" spans="1:21" customFormat="1" x14ac:dyDescent="0.5">
      <c r="A22" s="1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</row>
    <row r="23" spans="1:21" customFormat="1" x14ac:dyDescent="0.5">
      <c r="A23" s="1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</row>
    <row r="24" spans="1:21" customFormat="1" x14ac:dyDescent="0.5">
      <c r="A24" s="1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</row>
    <row r="25" spans="1:21" customFormat="1" x14ac:dyDescent="0.5">
      <c r="A25" s="1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</row>
    <row r="26" spans="1:21" customFormat="1" x14ac:dyDescent="0.5">
      <c r="A26" s="1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</row>
    <row r="27" spans="1:21" customFormat="1" x14ac:dyDescent="0.5">
      <c r="A27" s="1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</row>
    <row r="28" spans="1:21" customFormat="1" x14ac:dyDescent="0.5">
      <c r="A28" s="1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</row>
    <row r="29" spans="1:21" customFormat="1" x14ac:dyDescent="0.5">
      <c r="A29" s="1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</row>
    <row r="30" spans="1:21" customFormat="1" x14ac:dyDescent="0.5">
      <c r="A30" s="1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</row>
    <row r="31" spans="1:21" customFormat="1" x14ac:dyDescent="0.5">
      <c r="A31" s="1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</row>
    <row r="32" spans="1:21" customFormat="1" x14ac:dyDescent="0.5">
      <c r="A32" s="1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</row>
    <row r="33" spans="1:21" customFormat="1" x14ac:dyDescent="0.5">
      <c r="A33" s="1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</row>
    <row r="34" spans="1:21" customFormat="1" x14ac:dyDescent="0.5">
      <c r="A34" s="1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</row>
    <row r="35" spans="1:21" customFormat="1" x14ac:dyDescent="0.5">
      <c r="A35" s="1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</row>
    <row r="36" spans="1:21" customFormat="1" x14ac:dyDescent="0.5">
      <c r="A36" s="1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</row>
    <row r="37" spans="1:21" customFormat="1" x14ac:dyDescent="0.5">
      <c r="A37" s="1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</row>
    <row r="38" spans="1:21" customFormat="1" x14ac:dyDescent="0.5">
      <c r="A38" s="1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</row>
    <row r="39" spans="1:21" customFormat="1" x14ac:dyDescent="0.5">
      <c r="A39" s="1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</row>
    <row r="40" spans="1:21" customFormat="1" x14ac:dyDescent="0.5">
      <c r="A40" s="1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</row>
    <row r="41" spans="1:21" customFormat="1" x14ac:dyDescent="0.5">
      <c r="A41" s="1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</row>
    <row r="42" spans="1:21" customFormat="1" x14ac:dyDescent="0.5">
      <c r="A42" s="1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</row>
    <row r="43" spans="1:21" customFormat="1" x14ac:dyDescent="0.5">
      <c r="A43" s="1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</row>
    <row r="44" spans="1:21" customFormat="1" x14ac:dyDescent="0.5">
      <c r="A44" s="1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</row>
    <row r="45" spans="1:21" customFormat="1" x14ac:dyDescent="0.5">
      <c r="A45" s="1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</row>
    <row r="46" spans="1:21" customFormat="1" x14ac:dyDescent="0.5">
      <c r="A46" s="1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</row>
    <row r="47" spans="1:21" customFormat="1" x14ac:dyDescent="0.5">
      <c r="A47" s="1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</row>
    <row r="48" spans="1:21" customFormat="1" x14ac:dyDescent="0.5">
      <c r="A48" s="1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</row>
    <row r="49" spans="1:21" customFormat="1" x14ac:dyDescent="0.5">
      <c r="A49" s="1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</row>
    <row r="50" spans="1:21" customFormat="1" x14ac:dyDescent="0.5">
      <c r="A50" s="1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</row>
    <row r="51" spans="1:21" customFormat="1" x14ac:dyDescent="0.5">
      <c r="A51" s="1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</row>
    <row r="52" spans="1:21" customFormat="1" x14ac:dyDescent="0.5">
      <c r="A52" s="1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</row>
    <row r="53" spans="1:21" customFormat="1" x14ac:dyDescent="0.5">
      <c r="A53" s="1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</row>
    <row r="54" spans="1:21" customFormat="1" x14ac:dyDescent="0.5">
      <c r="A54" s="1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</row>
    <row r="55" spans="1:21" customFormat="1" x14ac:dyDescent="0.5">
      <c r="A55" s="1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</row>
    <row r="56" spans="1:21" customFormat="1" x14ac:dyDescent="0.5">
      <c r="A56" s="1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</row>
    <row r="57" spans="1:21" customFormat="1" x14ac:dyDescent="0.5">
      <c r="A57" s="1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</row>
    <row r="58" spans="1:21" customFormat="1" x14ac:dyDescent="0.5">
      <c r="A58" s="1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</row>
    <row r="59" spans="1:21" customFormat="1" x14ac:dyDescent="0.5">
      <c r="A59" s="1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</row>
    <row r="60" spans="1:21" customFormat="1" x14ac:dyDescent="0.5">
      <c r="A60" s="1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</row>
    <row r="61" spans="1:21" customFormat="1" x14ac:dyDescent="0.5">
      <c r="A61" s="1"/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</row>
    <row r="62" spans="1:21" customFormat="1" x14ac:dyDescent="0.5">
      <c r="A62" s="1"/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</row>
    <row r="63" spans="1:21" customFormat="1" x14ac:dyDescent="0.5">
      <c r="A63" s="1"/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</row>
    <row r="64" spans="1:21" customFormat="1" x14ac:dyDescent="0.5">
      <c r="A64" s="1"/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</row>
    <row r="65" spans="1:21" customFormat="1" x14ac:dyDescent="0.5">
      <c r="A65" s="1"/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</row>
    <row r="66" spans="1:21" customFormat="1" x14ac:dyDescent="0.5">
      <c r="A66" s="1"/>
      <c r="B66" s="2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</row>
    <row r="67" spans="1:21" customFormat="1" x14ac:dyDescent="0.5">
      <c r="A67" s="1"/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</row>
    <row r="68" spans="1:21" customFormat="1" x14ac:dyDescent="0.5">
      <c r="A68" s="1"/>
      <c r="B68" s="2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</row>
    <row r="69" spans="1:21" customFormat="1" x14ac:dyDescent="0.5">
      <c r="A69" s="1"/>
      <c r="B69" s="2"/>
      <c r="C69" s="2"/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</row>
    <row r="70" spans="1:21" customFormat="1" x14ac:dyDescent="0.5">
      <c r="A70" s="1"/>
      <c r="B70" s="2"/>
      <c r="C70" s="2"/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</row>
    <row r="71" spans="1:21" customFormat="1" x14ac:dyDescent="0.5">
      <c r="A71" s="1"/>
      <c r="B71" s="2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</row>
    <row r="72" spans="1:21" customFormat="1" x14ac:dyDescent="0.5">
      <c r="A72" s="1"/>
      <c r="B72" s="2"/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</row>
    <row r="73" spans="1:21" customFormat="1" x14ac:dyDescent="0.5">
      <c r="A73" s="1"/>
      <c r="B73" s="2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</row>
    <row r="74" spans="1:21" customFormat="1" x14ac:dyDescent="0.5">
      <c r="A74" s="1"/>
      <c r="B74" s="2"/>
      <c r="C74" s="2"/>
      <c r="D74" s="2"/>
      <c r="E74" s="2"/>
      <c r="F74" s="2"/>
      <c r="G74" s="2"/>
      <c r="H74" s="2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</row>
    <row r="75" spans="1:21" customFormat="1" x14ac:dyDescent="0.5">
      <c r="A75" s="1"/>
      <c r="B75" s="2"/>
      <c r="C75" s="2"/>
      <c r="D75" s="2"/>
      <c r="E75" s="2"/>
      <c r="F75" s="2"/>
      <c r="G75" s="2"/>
      <c r="H75" s="2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</row>
    <row r="76" spans="1:21" customFormat="1" x14ac:dyDescent="0.5">
      <c r="A76" s="1"/>
      <c r="B76" s="2"/>
      <c r="C76" s="2"/>
      <c r="D76" s="2"/>
      <c r="E76" s="2"/>
      <c r="F76" s="2"/>
      <c r="G76" s="2"/>
      <c r="H76" s="2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</row>
    <row r="77" spans="1:21" customFormat="1" x14ac:dyDescent="0.5">
      <c r="A77" s="1"/>
      <c r="B77" s="2"/>
      <c r="C77" s="2"/>
      <c r="D77" s="2"/>
      <c r="E77" s="2"/>
      <c r="F77" s="2"/>
      <c r="G77" s="2"/>
      <c r="H77" s="2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</row>
    <row r="78" spans="1:21" customFormat="1" x14ac:dyDescent="0.5">
      <c r="A78" s="1"/>
      <c r="B78" s="2"/>
      <c r="C78" s="2"/>
      <c r="D78" s="2"/>
      <c r="E78" s="2"/>
      <c r="F78" s="2"/>
      <c r="G78" s="2"/>
      <c r="H78" s="2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  <c r="U78" s="2"/>
    </row>
    <row r="79" spans="1:21" customFormat="1" x14ac:dyDescent="0.5">
      <c r="A79" s="1"/>
      <c r="B79" s="2"/>
      <c r="C79" s="2"/>
      <c r="D79" s="2"/>
      <c r="E79" s="2"/>
      <c r="F79" s="2"/>
      <c r="G79" s="2"/>
      <c r="H79" s="2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</row>
    <row r="80" spans="1:21" customFormat="1" x14ac:dyDescent="0.5">
      <c r="A80" s="1"/>
      <c r="B80" s="2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</row>
    <row r="81" spans="1:21" customFormat="1" x14ac:dyDescent="0.5">
      <c r="A81" s="1"/>
      <c r="B81" s="2"/>
      <c r="C81" s="2"/>
      <c r="D81" s="2"/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</row>
    <row r="82" spans="1:21" customFormat="1" x14ac:dyDescent="0.5">
      <c r="A82" s="1"/>
      <c r="B82" s="2"/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</row>
    <row r="83" spans="1:21" customFormat="1" x14ac:dyDescent="0.5">
      <c r="A83" s="1"/>
      <c r="B83" s="2"/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</row>
    <row r="84" spans="1:21" customFormat="1" x14ac:dyDescent="0.5">
      <c r="A84" s="1"/>
      <c r="B84" s="2"/>
      <c r="C84" s="2"/>
      <c r="D84" s="2"/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</row>
    <row r="85" spans="1:21" customFormat="1" x14ac:dyDescent="0.5">
      <c r="A85" s="1"/>
      <c r="B85" s="2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  <c r="U85" s="2"/>
    </row>
    <row r="86" spans="1:21" customFormat="1" x14ac:dyDescent="0.5">
      <c r="A86" s="1"/>
      <c r="B86" s="2"/>
      <c r="C86" s="2"/>
      <c r="D86" s="2"/>
      <c r="E86" s="2"/>
      <c r="F86" s="2"/>
      <c r="G86" s="2"/>
      <c r="H86" s="2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2"/>
      <c r="U86" s="2"/>
    </row>
    <row r="87" spans="1:21" customFormat="1" x14ac:dyDescent="0.5">
      <c r="A87" s="1"/>
      <c r="B87" s="2"/>
      <c r="C87" s="2"/>
      <c r="D87" s="2"/>
      <c r="E87" s="2"/>
      <c r="F87" s="2"/>
      <c r="G87" s="2"/>
      <c r="H87" s="2"/>
      <c r="I87" s="2"/>
      <c r="J87" s="2"/>
      <c r="K87" s="2"/>
      <c r="L87" s="2"/>
      <c r="M87" s="2"/>
      <c r="N87" s="2"/>
      <c r="O87" s="2"/>
      <c r="P87" s="2"/>
      <c r="Q87" s="2"/>
      <c r="R87" s="2"/>
      <c r="S87" s="2"/>
      <c r="T87" s="2"/>
      <c r="U87" s="2"/>
    </row>
    <row r="88" spans="1:21" customFormat="1" x14ac:dyDescent="0.5">
      <c r="A88" s="1"/>
      <c r="B88" s="2"/>
      <c r="C88" s="2"/>
      <c r="D88" s="2"/>
      <c r="E88" s="2"/>
      <c r="F88" s="2"/>
      <c r="G88" s="2"/>
      <c r="H88" s="2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T88" s="2"/>
      <c r="U88" s="2"/>
    </row>
    <row r="89" spans="1:21" customFormat="1" x14ac:dyDescent="0.5">
      <c r="A89" s="1"/>
      <c r="B89" s="2"/>
      <c r="C89" s="2"/>
      <c r="D89" s="2"/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</row>
    <row r="90" spans="1:21" customFormat="1" x14ac:dyDescent="0.5">
      <c r="A90" s="1"/>
      <c r="B90" s="2"/>
      <c r="C90" s="2"/>
      <c r="D90" s="2"/>
      <c r="E90" s="2"/>
      <c r="F90" s="2"/>
      <c r="G90" s="2"/>
      <c r="H90" s="2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  <c r="U90" s="2"/>
    </row>
    <row r="91" spans="1:21" customFormat="1" x14ac:dyDescent="0.5">
      <c r="A91" s="1"/>
      <c r="B91" s="2"/>
      <c r="C91" s="2"/>
      <c r="D91" s="2"/>
      <c r="E91" s="2"/>
      <c r="F91" s="2"/>
      <c r="G91" s="2"/>
      <c r="H91" s="2"/>
      <c r="I91" s="2"/>
      <c r="J91" s="2"/>
      <c r="K91" s="2"/>
      <c r="L91" s="2"/>
      <c r="M91" s="2"/>
      <c r="N91" s="2"/>
      <c r="O91" s="2"/>
      <c r="P91" s="2"/>
      <c r="Q91" s="2"/>
      <c r="R91" s="2"/>
      <c r="S91" s="2"/>
      <c r="T91" s="2"/>
      <c r="U91" s="2"/>
    </row>
    <row r="92" spans="1:21" customFormat="1" x14ac:dyDescent="0.5">
      <c r="A92" s="1"/>
      <c r="B92" s="2"/>
      <c r="C92" s="2"/>
      <c r="D92" s="2"/>
      <c r="E92" s="2"/>
      <c r="F92" s="2"/>
      <c r="G92" s="2"/>
      <c r="H92" s="2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</row>
    <row r="93" spans="1:21" customFormat="1" x14ac:dyDescent="0.5">
      <c r="A93" s="1"/>
      <c r="B93" s="2"/>
      <c r="C93" s="2"/>
      <c r="D93" s="2"/>
      <c r="E93" s="2"/>
      <c r="F93" s="2"/>
      <c r="G93" s="2"/>
      <c r="H93" s="2"/>
      <c r="I93" s="2"/>
      <c r="J93" s="2"/>
      <c r="K93" s="2"/>
      <c r="L93" s="2"/>
      <c r="M93" s="2"/>
      <c r="N93" s="2"/>
      <c r="O93" s="2"/>
      <c r="P93" s="2"/>
      <c r="Q93" s="2"/>
      <c r="R93" s="2"/>
      <c r="S93" s="2"/>
      <c r="T93" s="2"/>
      <c r="U93" s="2"/>
    </row>
    <row r="94" spans="1:21" customFormat="1" x14ac:dyDescent="0.5">
      <c r="A94" s="1"/>
      <c r="B94" s="2"/>
      <c r="C94" s="2"/>
      <c r="D94" s="2"/>
      <c r="E94" s="2"/>
      <c r="F94" s="2"/>
      <c r="G94" s="2"/>
      <c r="H94" s="2"/>
      <c r="I94" s="2"/>
      <c r="J94" s="2"/>
      <c r="K94" s="2"/>
      <c r="L94" s="2"/>
      <c r="M94" s="2"/>
      <c r="N94" s="2"/>
      <c r="O94" s="2"/>
      <c r="P94" s="2"/>
      <c r="Q94" s="2"/>
      <c r="R94" s="2"/>
      <c r="S94" s="2"/>
      <c r="T94" s="2"/>
      <c r="U94" s="2"/>
    </row>
    <row r="95" spans="1:21" customFormat="1" x14ac:dyDescent="0.5">
      <c r="A95" s="1"/>
      <c r="B95" s="2"/>
      <c r="C95" s="2"/>
      <c r="D95" s="2"/>
      <c r="E95" s="2"/>
      <c r="F95" s="2"/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</row>
    <row r="96" spans="1:21" customFormat="1" x14ac:dyDescent="0.5">
      <c r="A96" s="1"/>
      <c r="B96" s="2"/>
      <c r="C96" s="2"/>
      <c r="D96" s="2"/>
      <c r="E96" s="2"/>
      <c r="F96" s="2"/>
      <c r="G96" s="2"/>
      <c r="H96" s="2"/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  <c r="T96" s="2"/>
      <c r="U96" s="2"/>
    </row>
    <row r="97" spans="1:21" customFormat="1" x14ac:dyDescent="0.5">
      <c r="A97" s="1"/>
      <c r="B97" s="2"/>
      <c r="C97" s="2"/>
      <c r="D97" s="2"/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</row>
    <row r="98" spans="1:21" customFormat="1" x14ac:dyDescent="0.5">
      <c r="A98" s="1"/>
      <c r="B98" s="2"/>
      <c r="C98" s="2"/>
      <c r="D98" s="2"/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</row>
    <row r="99" spans="1:21" customFormat="1" x14ac:dyDescent="0.5">
      <c r="A99" s="1"/>
      <c r="B99" s="2"/>
      <c r="C99" s="2"/>
      <c r="D99" s="2"/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2"/>
      <c r="Q99" s="2"/>
      <c r="R99" s="2"/>
      <c r="S99" s="2"/>
      <c r="T99" s="2"/>
      <c r="U99" s="2"/>
    </row>
    <row r="100" spans="1:21" customFormat="1" x14ac:dyDescent="0.5">
      <c r="A100" s="1"/>
      <c r="B100" s="2"/>
      <c r="C100" s="2"/>
      <c r="D100" s="2"/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  <c r="P100" s="2"/>
      <c r="Q100" s="2"/>
      <c r="R100" s="2"/>
      <c r="S100" s="2"/>
      <c r="T100" s="2"/>
      <c r="U100" s="2"/>
    </row>
    <row r="101" spans="1:21" customFormat="1" x14ac:dyDescent="0.5">
      <c r="A101" s="1"/>
      <c r="B101" s="2"/>
      <c r="C101" s="2"/>
      <c r="D101" s="2"/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</row>
    <row r="102" spans="1:21" customFormat="1" x14ac:dyDescent="0.5">
      <c r="A102" s="1"/>
      <c r="B102" s="2"/>
      <c r="C102" s="2"/>
      <c r="D102" s="2"/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</row>
    <row r="103" spans="1:21" customFormat="1" x14ac:dyDescent="0.5">
      <c r="A103" s="1"/>
      <c r="B103" s="2"/>
      <c r="C103" s="2"/>
      <c r="D103" s="2"/>
      <c r="E103" s="2"/>
      <c r="F103" s="2"/>
      <c r="G103" s="2"/>
      <c r="H103" s="2"/>
      <c r="I103" s="2"/>
      <c r="J103" s="2"/>
      <c r="K103" s="2"/>
      <c r="L103" s="2"/>
      <c r="M103" s="2"/>
      <c r="N103" s="2"/>
      <c r="O103" s="2"/>
      <c r="P103" s="2"/>
      <c r="Q103" s="2"/>
      <c r="R103" s="2"/>
      <c r="S103" s="2"/>
      <c r="T103" s="2"/>
      <c r="U103" s="2"/>
    </row>
    <row r="104" spans="1:21" customFormat="1" x14ac:dyDescent="0.5">
      <c r="A104" s="1"/>
      <c r="B104" s="2"/>
      <c r="C104" s="2"/>
      <c r="D104" s="2"/>
      <c r="E104" s="2"/>
      <c r="F104" s="2"/>
      <c r="G104" s="2"/>
      <c r="H104" s="2"/>
      <c r="I104" s="2"/>
      <c r="J104" s="2"/>
      <c r="K104" s="2"/>
      <c r="L104" s="2"/>
      <c r="M104" s="2"/>
      <c r="N104" s="2"/>
      <c r="O104" s="2"/>
      <c r="P104" s="2"/>
      <c r="Q104" s="2"/>
      <c r="R104" s="2"/>
      <c r="S104" s="2"/>
      <c r="T104" s="2"/>
      <c r="U104" s="2"/>
    </row>
    <row r="105" spans="1:21" customFormat="1" x14ac:dyDescent="0.5">
      <c r="A105" s="1"/>
      <c r="B105" s="2"/>
      <c r="C105" s="2"/>
      <c r="D105" s="2"/>
      <c r="E105" s="2"/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</row>
    <row r="106" spans="1:21" customFormat="1" x14ac:dyDescent="0.5">
      <c r="A106" s="1"/>
      <c r="B106" s="2"/>
      <c r="C106" s="2"/>
      <c r="D106" s="2"/>
      <c r="E106" s="2"/>
      <c r="F106" s="2"/>
      <c r="G106" s="2"/>
      <c r="H106" s="2"/>
      <c r="I106" s="2"/>
      <c r="J106" s="2"/>
      <c r="K106" s="2"/>
      <c r="L106" s="2"/>
      <c r="M106" s="2"/>
      <c r="N106" s="2"/>
      <c r="O106" s="2"/>
      <c r="P106" s="2"/>
      <c r="Q106" s="2"/>
      <c r="R106" s="2"/>
      <c r="S106" s="2"/>
      <c r="T106" s="2"/>
      <c r="U106" s="2"/>
    </row>
    <row r="107" spans="1:21" customFormat="1" x14ac:dyDescent="0.5">
      <c r="A107" s="1"/>
      <c r="B107" s="2"/>
      <c r="C107" s="2"/>
      <c r="D107" s="2"/>
      <c r="E107" s="2"/>
      <c r="F107" s="2"/>
      <c r="G107" s="2"/>
      <c r="H107" s="2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</row>
    <row r="108" spans="1:21" customFormat="1" x14ac:dyDescent="0.5">
      <c r="A108" s="1"/>
      <c r="B108" s="2"/>
      <c r="C108" s="2"/>
      <c r="D108" s="2"/>
      <c r="E108" s="2"/>
      <c r="F108" s="2"/>
      <c r="G108" s="2"/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</row>
    <row r="109" spans="1:21" customFormat="1" x14ac:dyDescent="0.5">
      <c r="A109" s="1"/>
      <c r="B109" s="2"/>
      <c r="C109" s="2"/>
      <c r="D109" s="2"/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"/>
      <c r="T109" s="2"/>
      <c r="U109" s="2"/>
    </row>
    <row r="110" spans="1:21" customFormat="1" x14ac:dyDescent="0.5">
      <c r="A110" s="1"/>
      <c r="B110" s="2"/>
      <c r="C110" s="2"/>
      <c r="D110" s="2"/>
      <c r="E110" s="2"/>
      <c r="F110" s="2"/>
      <c r="G110" s="2"/>
      <c r="H110" s="2"/>
      <c r="I110" s="2"/>
      <c r="J110" s="2"/>
      <c r="K110" s="2"/>
      <c r="L110" s="2"/>
      <c r="M110" s="2"/>
      <c r="N110" s="2"/>
      <c r="O110" s="2"/>
      <c r="P110" s="2"/>
      <c r="Q110" s="2"/>
      <c r="R110" s="2"/>
      <c r="S110" s="2"/>
      <c r="T110" s="2"/>
      <c r="U110" s="2"/>
    </row>
    <row r="111" spans="1:21" customFormat="1" x14ac:dyDescent="0.5">
      <c r="A111" s="1"/>
      <c r="B111" s="2"/>
      <c r="C111" s="2"/>
      <c r="D111" s="2"/>
      <c r="E111" s="2"/>
      <c r="F111" s="2"/>
      <c r="G111" s="2"/>
      <c r="H111" s="2"/>
      <c r="I111" s="2"/>
      <c r="J111" s="2"/>
      <c r="K111" s="2"/>
      <c r="L111" s="2"/>
      <c r="M111" s="2"/>
      <c r="N111" s="2"/>
      <c r="O111" s="2"/>
      <c r="P111" s="2"/>
      <c r="Q111" s="2"/>
      <c r="R111" s="2"/>
      <c r="S111" s="2"/>
      <c r="T111" s="2"/>
      <c r="U111" s="2"/>
    </row>
    <row r="112" spans="1:21" customFormat="1" x14ac:dyDescent="0.5">
      <c r="A112" s="1"/>
      <c r="B112" s="2"/>
      <c r="C112" s="2"/>
      <c r="D112" s="2"/>
      <c r="E112" s="2"/>
      <c r="F112" s="2"/>
      <c r="G112" s="2"/>
      <c r="H112" s="2"/>
      <c r="I112" s="2"/>
      <c r="J112" s="2"/>
      <c r="K112" s="2"/>
      <c r="L112" s="2"/>
      <c r="M112" s="2"/>
      <c r="N112" s="2"/>
      <c r="O112" s="2"/>
      <c r="P112" s="2"/>
      <c r="Q112" s="2"/>
      <c r="R112" s="2"/>
      <c r="S112" s="2"/>
      <c r="T112" s="2"/>
      <c r="U112" s="2"/>
    </row>
    <row r="113" spans="1:21" customFormat="1" x14ac:dyDescent="0.5">
      <c r="A113" s="1"/>
      <c r="B113" s="2"/>
      <c r="C113" s="2"/>
      <c r="D113" s="2"/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  <c r="P113" s="2"/>
      <c r="Q113" s="2"/>
      <c r="R113" s="2"/>
      <c r="S113" s="2"/>
      <c r="T113" s="2"/>
      <c r="U113" s="2"/>
    </row>
    <row r="114" spans="1:21" customFormat="1" x14ac:dyDescent="0.5">
      <c r="A114" s="1"/>
      <c r="B114" s="2"/>
      <c r="C114" s="2"/>
      <c r="D114" s="2"/>
      <c r="E114" s="2"/>
      <c r="F114" s="2"/>
      <c r="G114" s="2"/>
      <c r="H114" s="2"/>
      <c r="I114" s="2"/>
      <c r="J114" s="2"/>
      <c r="K114" s="2"/>
      <c r="L114" s="2"/>
      <c r="M114" s="2"/>
      <c r="N114" s="2"/>
      <c r="O114" s="2"/>
      <c r="P114" s="2"/>
      <c r="Q114" s="2"/>
      <c r="R114" s="2"/>
      <c r="S114" s="2"/>
      <c r="T114" s="2"/>
      <c r="U114" s="2"/>
    </row>
    <row r="115" spans="1:21" customFormat="1" x14ac:dyDescent="0.5">
      <c r="A115" s="1"/>
      <c r="B115" s="2"/>
      <c r="C115" s="2"/>
      <c r="D115" s="2"/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2"/>
      <c r="U115" s="2"/>
    </row>
    <row r="116" spans="1:21" customFormat="1" x14ac:dyDescent="0.5">
      <c r="A116" s="1"/>
      <c r="B116" s="2"/>
      <c r="C116" s="2"/>
      <c r="D116" s="2"/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  <c r="P116" s="2"/>
      <c r="Q116" s="2"/>
      <c r="R116" s="2"/>
      <c r="S116" s="2"/>
      <c r="T116" s="2"/>
      <c r="U116" s="2"/>
    </row>
    <row r="117" spans="1:21" customFormat="1" x14ac:dyDescent="0.5">
      <c r="A117" s="1"/>
      <c r="B117" s="2"/>
      <c r="C117" s="2"/>
      <c r="D117" s="2"/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  <c r="P117" s="2"/>
      <c r="Q117" s="2"/>
      <c r="R117" s="2"/>
      <c r="S117" s="2"/>
      <c r="T117" s="2"/>
      <c r="U117" s="2"/>
    </row>
    <row r="118" spans="1:21" customFormat="1" x14ac:dyDescent="0.5">
      <c r="A118" s="1"/>
      <c r="B118" s="2"/>
      <c r="C118" s="2"/>
      <c r="D118" s="2"/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  <c r="T118" s="2"/>
      <c r="U118" s="2"/>
    </row>
    <row r="119" spans="1:21" customFormat="1" x14ac:dyDescent="0.5">
      <c r="A119" s="1"/>
      <c r="B119" s="2"/>
      <c r="C119" s="2"/>
      <c r="D119" s="2"/>
      <c r="E119" s="2"/>
      <c r="F119" s="2"/>
      <c r="G119" s="2"/>
      <c r="H119" s="2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2"/>
      <c r="T119" s="2"/>
      <c r="U119" s="2"/>
    </row>
    <row r="120" spans="1:21" customFormat="1" x14ac:dyDescent="0.5">
      <c r="A120" s="1"/>
      <c r="B120" s="2"/>
      <c r="C120" s="2"/>
      <c r="D120" s="2"/>
      <c r="E120" s="2"/>
      <c r="F120" s="2"/>
      <c r="G120" s="2"/>
      <c r="H120" s="2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  <c r="T120" s="2"/>
      <c r="U120" s="2"/>
    </row>
    <row r="121" spans="1:21" customFormat="1" x14ac:dyDescent="0.5">
      <c r="A121" s="1"/>
      <c r="B121" s="2"/>
      <c r="C121" s="2"/>
      <c r="D121" s="2"/>
      <c r="E121" s="2"/>
      <c r="F121" s="2"/>
      <c r="G121" s="2"/>
      <c r="H121" s="2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2"/>
      <c r="T121" s="2"/>
      <c r="U121" s="2"/>
    </row>
    <row r="122" spans="1:21" customFormat="1" x14ac:dyDescent="0.5">
      <c r="A122" s="1"/>
      <c r="B122" s="2"/>
      <c r="C122" s="2"/>
      <c r="D122" s="2"/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</row>
    <row r="123" spans="1:21" customFormat="1" x14ac:dyDescent="0.5">
      <c r="A123" s="1"/>
      <c r="B123" s="2"/>
      <c r="C123" s="2"/>
      <c r="D123" s="2"/>
      <c r="E123" s="2"/>
      <c r="F123" s="2"/>
      <c r="G123" s="2"/>
      <c r="H123" s="2"/>
      <c r="I123" s="2"/>
      <c r="J123" s="2"/>
      <c r="K123" s="2"/>
      <c r="L123" s="2"/>
      <c r="M123" s="2"/>
      <c r="N123" s="2"/>
      <c r="O123" s="2"/>
      <c r="P123" s="2"/>
      <c r="Q123" s="2"/>
      <c r="R123" s="2"/>
      <c r="S123" s="2"/>
      <c r="T123" s="2"/>
      <c r="U123" s="2"/>
    </row>
    <row r="124" spans="1:21" customFormat="1" x14ac:dyDescent="0.5">
      <c r="A124" s="1"/>
      <c r="B124" s="2"/>
      <c r="C124" s="2"/>
      <c r="D124" s="2"/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  <c r="T124" s="2"/>
      <c r="U124" s="2"/>
    </row>
    <row r="125" spans="1:21" customFormat="1" x14ac:dyDescent="0.5">
      <c r="A125" s="1"/>
      <c r="B125" s="2"/>
      <c r="C125" s="2"/>
      <c r="D125" s="2"/>
      <c r="E125" s="2"/>
      <c r="F125" s="2"/>
      <c r="G125" s="2"/>
      <c r="H125" s="2"/>
      <c r="I125" s="2"/>
      <c r="J125" s="2"/>
      <c r="K125" s="2"/>
      <c r="L125" s="2"/>
      <c r="M125" s="2"/>
      <c r="N125" s="2"/>
      <c r="O125" s="2"/>
      <c r="P125" s="2"/>
      <c r="Q125" s="2"/>
      <c r="R125" s="2"/>
      <c r="S125" s="2"/>
      <c r="T125" s="2"/>
      <c r="U125" s="2"/>
    </row>
    <row r="126" spans="1:21" customFormat="1" x14ac:dyDescent="0.5">
      <c r="A126" s="1"/>
      <c r="B126" s="2"/>
      <c r="C126" s="2"/>
      <c r="D126" s="2"/>
      <c r="E126" s="2"/>
      <c r="F126" s="2"/>
      <c r="G126" s="2"/>
      <c r="H126" s="2"/>
      <c r="I126" s="2"/>
      <c r="J126" s="2"/>
      <c r="K126" s="2"/>
      <c r="L126" s="2"/>
      <c r="M126" s="2"/>
      <c r="N126" s="2"/>
      <c r="O126" s="2"/>
      <c r="P126" s="2"/>
      <c r="Q126" s="2"/>
      <c r="R126" s="2"/>
      <c r="S126" s="2"/>
      <c r="T126" s="2"/>
      <c r="U126" s="2"/>
    </row>
    <row r="127" spans="1:21" customFormat="1" x14ac:dyDescent="0.5">
      <c r="A127" s="1"/>
      <c r="B127" s="2"/>
      <c r="C127" s="2"/>
      <c r="D127" s="2"/>
      <c r="E127" s="2"/>
      <c r="F127" s="2"/>
      <c r="G127" s="2"/>
      <c r="H127" s="2"/>
      <c r="I127" s="2"/>
      <c r="J127" s="2"/>
      <c r="K127" s="2"/>
      <c r="L127" s="2"/>
      <c r="M127" s="2"/>
      <c r="N127" s="2"/>
      <c r="O127" s="2"/>
      <c r="P127" s="2"/>
      <c r="Q127" s="2"/>
      <c r="R127" s="2"/>
      <c r="S127" s="2"/>
      <c r="T127" s="2"/>
      <c r="U127" s="2"/>
    </row>
    <row r="128" spans="1:21" customFormat="1" x14ac:dyDescent="0.5">
      <c r="A128" s="1"/>
      <c r="B128" s="2"/>
      <c r="C128" s="2"/>
      <c r="D128" s="2"/>
      <c r="E128" s="2"/>
      <c r="F128" s="2"/>
      <c r="G128" s="2"/>
      <c r="H128" s="2"/>
      <c r="I128" s="2"/>
      <c r="J128" s="2"/>
      <c r="K128" s="2"/>
      <c r="L128" s="2"/>
      <c r="M128" s="2"/>
      <c r="N128" s="2"/>
      <c r="O128" s="2"/>
      <c r="P128" s="2"/>
      <c r="Q128" s="2"/>
      <c r="R128" s="2"/>
      <c r="S128" s="2"/>
      <c r="T128" s="2"/>
      <c r="U128" s="2"/>
    </row>
    <row r="129" spans="1:21" customFormat="1" x14ac:dyDescent="0.5">
      <c r="A129" s="1"/>
      <c r="B129" s="2"/>
      <c r="C129" s="2"/>
      <c r="D129" s="2"/>
      <c r="E129" s="2"/>
      <c r="F129" s="2"/>
      <c r="G129" s="2"/>
      <c r="H129" s="2"/>
      <c r="I129" s="2"/>
      <c r="J129" s="2"/>
      <c r="K129" s="2"/>
      <c r="L129" s="2"/>
      <c r="M129" s="2"/>
      <c r="N129" s="2"/>
      <c r="O129" s="2"/>
      <c r="P129" s="2"/>
      <c r="Q129" s="2"/>
      <c r="R129" s="2"/>
      <c r="S129" s="2"/>
      <c r="T129" s="2"/>
      <c r="U129" s="2"/>
    </row>
    <row r="130" spans="1:21" customFormat="1" x14ac:dyDescent="0.5">
      <c r="A130" s="1"/>
      <c r="B130" s="2"/>
      <c r="C130" s="2"/>
      <c r="D130" s="2"/>
      <c r="E130" s="2"/>
      <c r="F130" s="2"/>
      <c r="G130" s="2"/>
      <c r="H130" s="2"/>
      <c r="I130" s="2"/>
      <c r="J130" s="2"/>
      <c r="K130" s="2"/>
      <c r="L130" s="2"/>
      <c r="M130" s="2"/>
      <c r="N130" s="2"/>
      <c r="O130" s="2"/>
      <c r="P130" s="2"/>
      <c r="Q130" s="2"/>
      <c r="R130" s="2"/>
      <c r="S130" s="2"/>
      <c r="T130" s="2"/>
      <c r="U130" s="2"/>
    </row>
    <row r="131" spans="1:21" customFormat="1" x14ac:dyDescent="0.5">
      <c r="A131" s="1"/>
      <c r="B131" s="2"/>
      <c r="C131" s="2"/>
      <c r="D131" s="2"/>
      <c r="E131" s="2"/>
      <c r="F131" s="2"/>
      <c r="G131" s="2"/>
      <c r="H131" s="2"/>
      <c r="I131" s="2"/>
      <c r="J131" s="2"/>
      <c r="K131" s="2"/>
      <c r="L131" s="2"/>
      <c r="M131" s="2"/>
      <c r="N131" s="2"/>
      <c r="O131" s="2"/>
      <c r="P131" s="2"/>
      <c r="Q131" s="2"/>
      <c r="R131" s="2"/>
      <c r="S131" s="2"/>
      <c r="T131" s="2"/>
      <c r="U131" s="2"/>
    </row>
    <row r="132" spans="1:21" customFormat="1" x14ac:dyDescent="0.5">
      <c r="A132" s="1"/>
      <c r="B132" s="2"/>
      <c r="C132" s="2"/>
      <c r="D132" s="2"/>
      <c r="E132" s="2"/>
      <c r="F132" s="2"/>
      <c r="G132" s="2"/>
      <c r="H132" s="2"/>
      <c r="I132" s="2"/>
      <c r="J132" s="2"/>
      <c r="K132" s="2"/>
      <c r="L132" s="2"/>
      <c r="M132" s="2"/>
      <c r="N132" s="2"/>
      <c r="O132" s="2"/>
      <c r="P132" s="2"/>
      <c r="Q132" s="2"/>
      <c r="R132" s="2"/>
      <c r="S132" s="2"/>
      <c r="T132" s="2"/>
      <c r="U132" s="2"/>
    </row>
    <row r="133" spans="1:21" customFormat="1" x14ac:dyDescent="0.5">
      <c r="A133" s="1"/>
      <c r="B133" s="2"/>
      <c r="C133" s="2"/>
      <c r="D133" s="2"/>
      <c r="E133" s="2"/>
      <c r="F133" s="2"/>
      <c r="G133" s="2"/>
      <c r="H133" s="2"/>
      <c r="I133" s="2"/>
      <c r="J133" s="2"/>
      <c r="K133" s="2"/>
      <c r="L133" s="2"/>
      <c r="M133" s="2"/>
      <c r="N133" s="2"/>
      <c r="O133" s="2"/>
      <c r="P133" s="2"/>
      <c r="Q133" s="2"/>
      <c r="R133" s="2"/>
      <c r="S133" s="2"/>
      <c r="T133" s="2"/>
      <c r="U133" s="2"/>
    </row>
    <row r="134" spans="1:21" customFormat="1" x14ac:dyDescent="0.5">
      <c r="A134" s="1"/>
      <c r="B134" s="2"/>
      <c r="C134" s="2"/>
      <c r="D134" s="2"/>
      <c r="E134" s="2"/>
      <c r="F134" s="2"/>
      <c r="G134" s="2"/>
      <c r="H134" s="2"/>
      <c r="I134" s="2"/>
      <c r="J134" s="2"/>
      <c r="K134" s="2"/>
      <c r="L134" s="2"/>
      <c r="M134" s="2"/>
      <c r="N134" s="2"/>
      <c r="O134" s="2"/>
      <c r="P134" s="2"/>
      <c r="Q134" s="2"/>
      <c r="R134" s="2"/>
      <c r="S134" s="2"/>
      <c r="T134" s="2"/>
      <c r="U134" s="2"/>
    </row>
    <row r="135" spans="1:21" customFormat="1" x14ac:dyDescent="0.5">
      <c r="A135" s="1"/>
      <c r="B135" s="2"/>
      <c r="C135" s="2"/>
      <c r="D135" s="2"/>
      <c r="E135" s="2"/>
      <c r="F135" s="2"/>
      <c r="G135" s="2"/>
      <c r="H135" s="2"/>
      <c r="I135" s="2"/>
      <c r="J135" s="2"/>
      <c r="K135" s="2"/>
      <c r="L135" s="2"/>
      <c r="M135" s="2"/>
      <c r="N135" s="2"/>
      <c r="O135" s="2"/>
      <c r="P135" s="2"/>
      <c r="Q135" s="2"/>
      <c r="R135" s="2"/>
      <c r="S135" s="2"/>
      <c r="T135" s="2"/>
      <c r="U135" s="2"/>
    </row>
    <row r="136" spans="1:21" customFormat="1" x14ac:dyDescent="0.5">
      <c r="A136" s="1"/>
      <c r="B136" s="2"/>
      <c r="C136" s="2"/>
      <c r="D136" s="2"/>
      <c r="E136" s="2"/>
      <c r="F136" s="2"/>
      <c r="G136" s="2"/>
      <c r="H136" s="2"/>
      <c r="I136" s="2"/>
      <c r="J136" s="2"/>
      <c r="K136" s="2"/>
      <c r="L136" s="2"/>
      <c r="M136" s="2"/>
      <c r="N136" s="2"/>
      <c r="O136" s="2"/>
      <c r="P136" s="2"/>
      <c r="Q136" s="2"/>
      <c r="R136" s="2"/>
      <c r="S136" s="2"/>
      <c r="T136" s="2"/>
      <c r="U136" s="2"/>
    </row>
    <row r="137" spans="1:21" customFormat="1" x14ac:dyDescent="0.5">
      <c r="A137" s="1"/>
      <c r="B137" s="2"/>
      <c r="C137" s="2"/>
      <c r="D137" s="2"/>
      <c r="E137" s="2"/>
      <c r="F137" s="2"/>
      <c r="G137" s="2"/>
      <c r="H137" s="2"/>
      <c r="I137" s="2"/>
      <c r="J137" s="2"/>
      <c r="K137" s="2"/>
      <c r="L137" s="2"/>
      <c r="M137" s="2"/>
      <c r="N137" s="2"/>
      <c r="O137" s="2"/>
      <c r="P137" s="2"/>
      <c r="Q137" s="2"/>
      <c r="R137" s="2"/>
      <c r="S137" s="2"/>
      <c r="T137" s="2"/>
      <c r="U137" s="2"/>
    </row>
    <row r="138" spans="1:21" customFormat="1" x14ac:dyDescent="0.5">
      <c r="A138" s="1"/>
      <c r="B138" s="2"/>
      <c r="C138" s="2"/>
      <c r="D138" s="2"/>
      <c r="E138" s="2"/>
      <c r="F138" s="2"/>
      <c r="G138" s="2"/>
      <c r="H138" s="2"/>
      <c r="I138" s="2"/>
      <c r="J138" s="2"/>
      <c r="K138" s="2"/>
      <c r="L138" s="2"/>
      <c r="M138" s="2"/>
      <c r="N138" s="2"/>
      <c r="O138" s="2"/>
      <c r="P138" s="2"/>
      <c r="Q138" s="2"/>
      <c r="R138" s="2"/>
      <c r="S138" s="2"/>
      <c r="T138" s="2"/>
      <c r="U138" s="2"/>
    </row>
    <row r="139" spans="1:21" customFormat="1" x14ac:dyDescent="0.5">
      <c r="A139" s="1"/>
      <c r="B139" s="2"/>
      <c r="C139" s="2"/>
      <c r="D139" s="2"/>
      <c r="E139" s="2"/>
      <c r="F139" s="2"/>
      <c r="G139" s="2"/>
      <c r="H139" s="2"/>
      <c r="I139" s="2"/>
      <c r="J139" s="2"/>
      <c r="K139" s="2"/>
      <c r="L139" s="2"/>
      <c r="M139" s="2"/>
      <c r="N139" s="2"/>
      <c r="O139" s="2"/>
      <c r="P139" s="2"/>
      <c r="Q139" s="2"/>
      <c r="R139" s="2"/>
      <c r="S139" s="2"/>
      <c r="T139" s="2"/>
      <c r="U139" s="2"/>
    </row>
    <row r="140" spans="1:21" customFormat="1" x14ac:dyDescent="0.5">
      <c r="A140" s="1"/>
      <c r="B140" s="2"/>
      <c r="C140" s="2"/>
      <c r="D140" s="2"/>
      <c r="E140" s="2"/>
      <c r="F140" s="2"/>
      <c r="G140" s="2"/>
      <c r="H140" s="2"/>
      <c r="I140" s="2"/>
      <c r="J140" s="2"/>
      <c r="K140" s="2"/>
      <c r="L140" s="2"/>
      <c r="M140" s="2"/>
      <c r="N140" s="2"/>
      <c r="O140" s="2"/>
      <c r="P140" s="2"/>
      <c r="Q140" s="2"/>
      <c r="R140" s="2"/>
      <c r="S140" s="2"/>
      <c r="T140" s="2"/>
      <c r="U140" s="2"/>
    </row>
    <row r="141" spans="1:21" customFormat="1" x14ac:dyDescent="0.5">
      <c r="A141" s="1"/>
      <c r="B141" s="2"/>
      <c r="C141" s="2"/>
      <c r="D141" s="2"/>
      <c r="E141" s="2"/>
      <c r="F141" s="2"/>
      <c r="G141" s="2"/>
      <c r="H141" s="2"/>
      <c r="I141" s="2"/>
      <c r="J141" s="2"/>
      <c r="K141" s="2"/>
      <c r="L141" s="2"/>
      <c r="M141" s="2"/>
      <c r="N141" s="2"/>
      <c r="O141" s="2"/>
      <c r="P141" s="2"/>
      <c r="Q141" s="2"/>
      <c r="R141" s="2"/>
      <c r="S141" s="2"/>
      <c r="T141" s="2"/>
      <c r="U141" s="2"/>
    </row>
    <row r="142" spans="1:21" customFormat="1" x14ac:dyDescent="0.5">
      <c r="A142" s="1"/>
      <c r="B142" s="2"/>
      <c r="C142" s="2"/>
      <c r="D142" s="2"/>
      <c r="E142" s="2"/>
      <c r="F142" s="2"/>
      <c r="G142" s="2"/>
      <c r="H142" s="2"/>
      <c r="I142" s="2"/>
      <c r="J142" s="2"/>
      <c r="K142" s="2"/>
      <c r="L142" s="2"/>
      <c r="M142" s="2"/>
      <c r="N142" s="2"/>
      <c r="O142" s="2"/>
      <c r="P142" s="2"/>
      <c r="Q142" s="2"/>
      <c r="R142" s="2"/>
      <c r="S142" s="2"/>
      <c r="T142" s="2"/>
      <c r="U142" s="2"/>
    </row>
    <row r="143" spans="1:21" customFormat="1" x14ac:dyDescent="0.5">
      <c r="A143" s="1"/>
      <c r="B143" s="2"/>
      <c r="C143" s="2"/>
      <c r="D143" s="2"/>
      <c r="E143" s="2"/>
      <c r="F143" s="2"/>
      <c r="G143" s="2"/>
      <c r="H143" s="2"/>
      <c r="I143" s="2"/>
      <c r="J143" s="2"/>
      <c r="K143" s="2"/>
      <c r="L143" s="2"/>
      <c r="M143" s="2"/>
      <c r="N143" s="2"/>
      <c r="O143" s="2"/>
      <c r="P143" s="2"/>
      <c r="Q143" s="2"/>
      <c r="R143" s="2"/>
      <c r="S143" s="2"/>
      <c r="T143" s="2"/>
      <c r="U143" s="2"/>
    </row>
    <row r="144" spans="1:21" customFormat="1" x14ac:dyDescent="0.5">
      <c r="A144" s="1"/>
      <c r="B144" s="2"/>
      <c r="C144" s="2"/>
      <c r="D144" s="2"/>
      <c r="E144" s="2"/>
      <c r="F144" s="2"/>
      <c r="G144" s="2"/>
      <c r="H144" s="2"/>
      <c r="I144" s="2"/>
      <c r="J144" s="2"/>
      <c r="K144" s="2"/>
      <c r="L144" s="2"/>
      <c r="M144" s="2"/>
      <c r="N144" s="2"/>
      <c r="O144" s="2"/>
      <c r="P144" s="2"/>
      <c r="Q144" s="2"/>
      <c r="R144" s="2"/>
      <c r="S144" s="2"/>
      <c r="T144" s="2"/>
      <c r="U144" s="2"/>
    </row>
    <row r="145" spans="1:21" customFormat="1" x14ac:dyDescent="0.5">
      <c r="A145" s="1"/>
      <c r="B145" s="2"/>
      <c r="C145" s="2"/>
      <c r="D145" s="2"/>
      <c r="E145" s="2"/>
      <c r="F145" s="2"/>
      <c r="G145" s="2"/>
      <c r="H145" s="2"/>
      <c r="I145" s="2"/>
      <c r="J145" s="2"/>
      <c r="K145" s="2"/>
      <c r="L145" s="2"/>
      <c r="M145" s="2"/>
      <c r="N145" s="2"/>
      <c r="O145" s="2"/>
      <c r="P145" s="2"/>
      <c r="Q145" s="2"/>
      <c r="R145" s="2"/>
      <c r="S145" s="2"/>
      <c r="T145" s="2"/>
      <c r="U145" s="2"/>
    </row>
    <row r="146" spans="1:21" customFormat="1" x14ac:dyDescent="0.5">
      <c r="A146" s="1"/>
      <c r="B146" s="2"/>
      <c r="C146" s="2"/>
      <c r="D146" s="2"/>
      <c r="E146" s="2"/>
      <c r="F146" s="2"/>
      <c r="G146" s="2"/>
      <c r="H146" s="2"/>
      <c r="I146" s="2"/>
      <c r="J146" s="2"/>
      <c r="K146" s="2"/>
      <c r="L146" s="2"/>
      <c r="M146" s="2"/>
      <c r="N146" s="2"/>
      <c r="O146" s="2"/>
      <c r="P146" s="2"/>
      <c r="Q146" s="2"/>
      <c r="R146" s="2"/>
      <c r="S146" s="2"/>
      <c r="T146" s="2"/>
      <c r="U146" s="2"/>
    </row>
    <row r="147" spans="1:21" customFormat="1" x14ac:dyDescent="0.5">
      <c r="A147" s="1"/>
      <c r="B147" s="2"/>
      <c r="C147" s="2"/>
      <c r="D147" s="2"/>
      <c r="E147" s="2"/>
      <c r="F147" s="2"/>
      <c r="G147" s="2"/>
      <c r="H147" s="2"/>
      <c r="I147" s="2"/>
      <c r="J147" s="2"/>
      <c r="K147" s="2"/>
      <c r="L147" s="2"/>
      <c r="M147" s="2"/>
      <c r="N147" s="2"/>
      <c r="O147" s="2"/>
      <c r="P147" s="2"/>
      <c r="Q147" s="2"/>
      <c r="R147" s="2"/>
      <c r="S147" s="2"/>
      <c r="T147" s="2"/>
      <c r="U147" s="2"/>
    </row>
    <row r="148" spans="1:21" customFormat="1" x14ac:dyDescent="0.5">
      <c r="A148" s="1"/>
      <c r="B148" s="2"/>
      <c r="C148" s="2"/>
      <c r="D148" s="2"/>
      <c r="E148" s="2"/>
      <c r="F148" s="2"/>
      <c r="G148" s="2"/>
      <c r="H148" s="2"/>
      <c r="I148" s="2"/>
      <c r="J148" s="2"/>
      <c r="K148" s="2"/>
      <c r="L148" s="2"/>
      <c r="M148" s="2"/>
      <c r="N148" s="2"/>
      <c r="O148" s="2"/>
      <c r="P148" s="2"/>
      <c r="Q148" s="2"/>
      <c r="R148" s="2"/>
      <c r="S148" s="2"/>
      <c r="T148" s="2"/>
      <c r="U148" s="2"/>
    </row>
    <row r="149" spans="1:21" customFormat="1" x14ac:dyDescent="0.5">
      <c r="A149" s="1"/>
      <c r="B149" s="2"/>
      <c r="C149" s="2"/>
      <c r="D149" s="2"/>
      <c r="E149" s="2"/>
      <c r="F149" s="2"/>
      <c r="G149" s="2"/>
      <c r="H149" s="2"/>
      <c r="I149" s="2"/>
      <c r="J149" s="2"/>
      <c r="K149" s="2"/>
      <c r="L149" s="2"/>
      <c r="M149" s="2"/>
      <c r="N149" s="2"/>
      <c r="O149" s="2"/>
      <c r="P149" s="2"/>
      <c r="Q149" s="2"/>
      <c r="R149" s="2"/>
      <c r="S149" s="2"/>
      <c r="T149" s="2"/>
      <c r="U149" s="2"/>
    </row>
    <row r="150" spans="1:21" customFormat="1" x14ac:dyDescent="0.5">
      <c r="A150" s="1"/>
      <c r="B150" s="2"/>
      <c r="C150" s="2"/>
      <c r="D150" s="2"/>
      <c r="E150" s="2"/>
      <c r="F150" s="2"/>
      <c r="G150" s="2"/>
      <c r="H150" s="2"/>
      <c r="I150" s="2"/>
      <c r="J150" s="2"/>
      <c r="K150" s="2"/>
      <c r="L150" s="2"/>
      <c r="M150" s="2"/>
      <c r="N150" s="2"/>
      <c r="O150" s="2"/>
      <c r="P150" s="2"/>
      <c r="Q150" s="2"/>
      <c r="R150" s="2"/>
      <c r="S150" s="2"/>
      <c r="T150" s="2"/>
      <c r="U150" s="2"/>
    </row>
    <row r="151" spans="1:21" customFormat="1" x14ac:dyDescent="0.5">
      <c r="A151" s="1"/>
      <c r="B151" s="2"/>
      <c r="C151" s="2"/>
      <c r="D151" s="2"/>
      <c r="E151" s="2"/>
      <c r="F151" s="2"/>
      <c r="G151" s="2"/>
      <c r="H151" s="2"/>
      <c r="I151" s="2"/>
      <c r="J151" s="2"/>
      <c r="K151" s="2"/>
      <c r="L151" s="2"/>
      <c r="M151" s="2"/>
      <c r="N151" s="2"/>
      <c r="O151" s="2"/>
      <c r="P151" s="2"/>
      <c r="Q151" s="2"/>
      <c r="R151" s="2"/>
      <c r="S151" s="2"/>
      <c r="T151" s="2"/>
      <c r="U151" s="2"/>
    </row>
    <row r="152" spans="1:21" customFormat="1" x14ac:dyDescent="0.5">
      <c r="A152" s="1"/>
      <c r="B152" s="2"/>
      <c r="C152" s="2"/>
      <c r="D152" s="2"/>
      <c r="E152" s="2"/>
      <c r="F152" s="2"/>
      <c r="G152" s="2"/>
      <c r="H152" s="2"/>
      <c r="I152" s="2"/>
      <c r="J152" s="2"/>
      <c r="K152" s="2"/>
      <c r="L152" s="2"/>
      <c r="M152" s="2"/>
      <c r="N152" s="2"/>
      <c r="O152" s="2"/>
      <c r="P152" s="2"/>
      <c r="Q152" s="2"/>
      <c r="R152" s="2"/>
      <c r="S152" s="2"/>
      <c r="T152" s="2"/>
      <c r="U152" s="2"/>
    </row>
    <row r="153" spans="1:21" customFormat="1" x14ac:dyDescent="0.5">
      <c r="A153" s="1"/>
      <c r="B153" s="2"/>
      <c r="C153" s="2"/>
      <c r="D153" s="2"/>
      <c r="E153" s="2"/>
      <c r="F153" s="2"/>
      <c r="G153" s="2"/>
      <c r="H153" s="2"/>
      <c r="I153" s="2"/>
      <c r="J153" s="2"/>
      <c r="K153" s="2"/>
      <c r="L153" s="2"/>
      <c r="M153" s="2"/>
      <c r="N153" s="2"/>
      <c r="O153" s="2"/>
      <c r="P153" s="2"/>
      <c r="Q153" s="2"/>
      <c r="R153" s="2"/>
      <c r="S153" s="2"/>
      <c r="T153" s="2"/>
      <c r="U153" s="2"/>
    </row>
    <row r="154" spans="1:21" customFormat="1" x14ac:dyDescent="0.5">
      <c r="A154" s="1"/>
      <c r="B154" s="2"/>
      <c r="C154" s="2"/>
      <c r="D154" s="2"/>
      <c r="E154" s="2"/>
      <c r="F154" s="2"/>
      <c r="G154" s="2"/>
      <c r="H154" s="2"/>
      <c r="I154" s="2"/>
      <c r="J154" s="2"/>
      <c r="K154" s="2"/>
      <c r="L154" s="2"/>
      <c r="M154" s="2"/>
      <c r="N154" s="2"/>
      <c r="O154" s="2"/>
      <c r="P154" s="2"/>
      <c r="Q154" s="2"/>
      <c r="R154" s="2"/>
      <c r="S154" s="2"/>
      <c r="T154" s="2"/>
      <c r="U154" s="2"/>
    </row>
    <row r="155" spans="1:21" customFormat="1" x14ac:dyDescent="0.5">
      <c r="A155" s="1"/>
      <c r="B155" s="2"/>
      <c r="C155" s="2"/>
      <c r="D155" s="2"/>
      <c r="E155" s="2"/>
      <c r="F155" s="2"/>
      <c r="G155" s="2"/>
      <c r="H155" s="2"/>
      <c r="I155" s="2"/>
      <c r="J155" s="2"/>
      <c r="K155" s="2"/>
      <c r="L155" s="2"/>
      <c r="M155" s="2"/>
      <c r="N155" s="2"/>
      <c r="O155" s="2"/>
      <c r="P155" s="2"/>
      <c r="Q155" s="2"/>
      <c r="R155" s="2"/>
      <c r="S155" s="2"/>
      <c r="T155" s="2"/>
      <c r="U155" s="2"/>
    </row>
    <row r="156" spans="1:21" customFormat="1" x14ac:dyDescent="0.5">
      <c r="A156" s="1"/>
      <c r="B156" s="2"/>
      <c r="C156" s="2"/>
      <c r="D156" s="2"/>
      <c r="E156" s="2"/>
      <c r="F156" s="2"/>
      <c r="G156" s="2"/>
      <c r="H156" s="2"/>
      <c r="I156" s="2"/>
      <c r="J156" s="2"/>
      <c r="K156" s="2"/>
      <c r="L156" s="2"/>
      <c r="M156" s="2"/>
      <c r="N156" s="2"/>
      <c r="O156" s="2"/>
      <c r="P156" s="2"/>
      <c r="Q156" s="2"/>
      <c r="R156" s="2"/>
      <c r="S156" s="2"/>
      <c r="T156" s="2"/>
      <c r="U156" s="2"/>
    </row>
    <row r="157" spans="1:21" customFormat="1" x14ac:dyDescent="0.5">
      <c r="A157" s="1"/>
      <c r="B157" s="2"/>
      <c r="C157" s="2"/>
      <c r="D157" s="2"/>
      <c r="E157" s="2"/>
      <c r="F157" s="2"/>
      <c r="G157" s="2"/>
      <c r="H157" s="2"/>
      <c r="I157" s="2"/>
      <c r="J157" s="2"/>
      <c r="K157" s="2"/>
      <c r="L157" s="2"/>
      <c r="M157" s="2"/>
      <c r="N157" s="2"/>
      <c r="O157" s="2"/>
      <c r="P157" s="2"/>
      <c r="Q157" s="2"/>
      <c r="R157" s="2"/>
      <c r="S157" s="2"/>
      <c r="T157" s="2"/>
      <c r="U157" s="2"/>
    </row>
    <row r="158" spans="1:21" customFormat="1" x14ac:dyDescent="0.5">
      <c r="A158" s="1"/>
      <c r="B158" s="2"/>
      <c r="C158" s="2"/>
      <c r="D158" s="2"/>
      <c r="E158" s="2"/>
      <c r="F158" s="2"/>
      <c r="G158" s="2"/>
      <c r="H158" s="2"/>
      <c r="I158" s="2"/>
      <c r="J158" s="2"/>
      <c r="K158" s="2"/>
      <c r="L158" s="2"/>
      <c r="M158" s="2"/>
      <c r="N158" s="2"/>
      <c r="O158" s="2"/>
      <c r="P158" s="2"/>
      <c r="Q158" s="2"/>
      <c r="R158" s="2"/>
      <c r="S158" s="2"/>
      <c r="T158" s="2"/>
      <c r="U158" s="2"/>
    </row>
    <row r="159" spans="1:21" customFormat="1" x14ac:dyDescent="0.5">
      <c r="A159" s="1"/>
      <c r="B159" s="2"/>
      <c r="C159" s="2"/>
      <c r="D159" s="2"/>
      <c r="E159" s="2"/>
      <c r="F159" s="2"/>
      <c r="G159" s="2"/>
      <c r="H159" s="2"/>
      <c r="I159" s="2"/>
      <c r="J159" s="2"/>
      <c r="K159" s="2"/>
      <c r="L159" s="2"/>
      <c r="M159" s="2"/>
      <c r="N159" s="2"/>
      <c r="O159" s="2"/>
      <c r="P159" s="2"/>
      <c r="Q159" s="2"/>
      <c r="R159" s="2"/>
      <c r="S159" s="2"/>
      <c r="T159" s="2"/>
      <c r="U159" s="2"/>
    </row>
    <row r="160" spans="1:21" customFormat="1" x14ac:dyDescent="0.5">
      <c r="A160" s="1"/>
      <c r="B160" s="2"/>
      <c r="C160" s="2"/>
      <c r="D160" s="2"/>
      <c r="E160" s="2"/>
      <c r="F160" s="2"/>
      <c r="G160" s="2"/>
      <c r="H160" s="2"/>
      <c r="I160" s="2"/>
      <c r="J160" s="2"/>
      <c r="K160" s="2"/>
      <c r="L160" s="2"/>
      <c r="M160" s="2"/>
      <c r="N160" s="2"/>
      <c r="O160" s="2"/>
      <c r="P160" s="2"/>
      <c r="Q160" s="2"/>
      <c r="R160" s="2"/>
      <c r="S160" s="2"/>
      <c r="T160" s="2"/>
      <c r="U160" s="2"/>
    </row>
    <row r="161" spans="1:21" customFormat="1" x14ac:dyDescent="0.5">
      <c r="A161" s="1"/>
      <c r="B161" s="2"/>
      <c r="C161" s="2"/>
      <c r="D161" s="2"/>
      <c r="E161" s="2"/>
      <c r="F161" s="2"/>
      <c r="G161" s="2"/>
      <c r="H161" s="2"/>
      <c r="I161" s="2"/>
      <c r="J161" s="2"/>
      <c r="K161" s="2"/>
      <c r="L161" s="2"/>
      <c r="M161" s="2"/>
      <c r="N161" s="2"/>
      <c r="O161" s="2"/>
      <c r="P161" s="2"/>
      <c r="Q161" s="2"/>
      <c r="R161" s="2"/>
      <c r="S161" s="2"/>
      <c r="T161" s="2"/>
      <c r="U161" s="2"/>
    </row>
    <row r="162" spans="1:21" customFormat="1" x14ac:dyDescent="0.5">
      <c r="A162" s="1"/>
      <c r="B162" s="2"/>
      <c r="C162" s="2"/>
      <c r="D162" s="2"/>
      <c r="E162" s="2"/>
      <c r="F162" s="2"/>
      <c r="G162" s="2"/>
      <c r="H162" s="2"/>
      <c r="I162" s="2"/>
      <c r="J162" s="2"/>
      <c r="K162" s="2"/>
      <c r="L162" s="2"/>
      <c r="M162" s="2"/>
      <c r="N162" s="2"/>
      <c r="O162" s="2"/>
      <c r="P162" s="2"/>
      <c r="Q162" s="2"/>
      <c r="R162" s="2"/>
      <c r="S162" s="2"/>
      <c r="T162" s="2"/>
      <c r="U162" s="2"/>
    </row>
    <row r="163" spans="1:21" customFormat="1" x14ac:dyDescent="0.5">
      <c r="A163" s="1"/>
      <c r="B163" s="2"/>
      <c r="C163" s="2"/>
      <c r="D163" s="2"/>
      <c r="E163" s="2"/>
      <c r="F163" s="2"/>
      <c r="G163" s="2"/>
      <c r="H163" s="2"/>
      <c r="I163" s="2"/>
      <c r="J163" s="2"/>
      <c r="K163" s="2"/>
      <c r="L163" s="2"/>
      <c r="M163" s="2"/>
      <c r="N163" s="2"/>
      <c r="O163" s="2"/>
      <c r="P163" s="2"/>
      <c r="Q163" s="2"/>
      <c r="R163" s="2"/>
      <c r="S163" s="2"/>
      <c r="T163" s="2"/>
      <c r="U163" s="2"/>
    </row>
    <row r="164" spans="1:21" customFormat="1" x14ac:dyDescent="0.5">
      <c r="A164" s="1"/>
      <c r="B164" s="2"/>
      <c r="C164" s="2"/>
      <c r="D164" s="2"/>
      <c r="E164" s="2"/>
      <c r="F164" s="2"/>
      <c r="G164" s="2"/>
      <c r="H164" s="2"/>
      <c r="I164" s="2"/>
      <c r="J164" s="2"/>
      <c r="K164" s="2"/>
      <c r="L164" s="2"/>
      <c r="M164" s="2"/>
      <c r="N164" s="2"/>
      <c r="O164" s="2"/>
      <c r="P164" s="2"/>
      <c r="Q164" s="2"/>
      <c r="R164" s="2"/>
      <c r="S164" s="2"/>
      <c r="T164" s="2"/>
      <c r="U164" s="2"/>
    </row>
    <row r="165" spans="1:21" customFormat="1" x14ac:dyDescent="0.5">
      <c r="A165" s="1"/>
      <c r="B165" s="2"/>
      <c r="C165" s="2"/>
      <c r="D165" s="2"/>
      <c r="E165" s="2"/>
      <c r="F165" s="2"/>
      <c r="G165" s="2"/>
      <c r="H165" s="2"/>
      <c r="I165" s="2"/>
      <c r="J165" s="2"/>
      <c r="K165" s="2"/>
      <c r="L165" s="2"/>
      <c r="M165" s="2"/>
      <c r="N165" s="2"/>
      <c r="O165" s="2"/>
      <c r="P165" s="2"/>
      <c r="Q165" s="2"/>
      <c r="R165" s="2"/>
      <c r="S165" s="2"/>
      <c r="T165" s="2"/>
      <c r="U165" s="2"/>
    </row>
    <row r="166" spans="1:21" customFormat="1" x14ac:dyDescent="0.5">
      <c r="A166" s="1"/>
      <c r="B166" s="2"/>
      <c r="C166" s="2"/>
      <c r="D166" s="2"/>
      <c r="E166" s="2"/>
      <c r="F166" s="2"/>
      <c r="G166" s="2"/>
      <c r="H166" s="2"/>
      <c r="I166" s="2"/>
      <c r="J166" s="2"/>
      <c r="K166" s="2"/>
      <c r="L166" s="2"/>
      <c r="M166" s="2"/>
      <c r="N166" s="2"/>
      <c r="O166" s="2"/>
      <c r="P166" s="2"/>
      <c r="Q166" s="2"/>
      <c r="R166" s="2"/>
      <c r="S166" s="2"/>
      <c r="T166" s="2"/>
      <c r="U166" s="2"/>
    </row>
    <row r="167" spans="1:21" customFormat="1" x14ac:dyDescent="0.5">
      <c r="A167" s="1"/>
      <c r="B167" s="2"/>
      <c r="C167" s="2"/>
      <c r="D167" s="2"/>
      <c r="E167" s="2"/>
      <c r="F167" s="2"/>
      <c r="G167" s="2"/>
      <c r="H167" s="2"/>
      <c r="I167" s="2"/>
      <c r="J167" s="2"/>
      <c r="K167" s="2"/>
      <c r="L167" s="2"/>
      <c r="M167" s="2"/>
      <c r="N167" s="2"/>
      <c r="O167" s="2"/>
      <c r="P167" s="2"/>
      <c r="Q167" s="2"/>
      <c r="R167" s="2"/>
      <c r="S167" s="2"/>
      <c r="T167" s="2"/>
      <c r="U167" s="2"/>
    </row>
    <row r="168" spans="1:21" customFormat="1" x14ac:dyDescent="0.5">
      <c r="A168" s="1"/>
      <c r="B168" s="2"/>
      <c r="C168" s="2"/>
      <c r="D168" s="2"/>
      <c r="E168" s="2"/>
      <c r="F168" s="2"/>
      <c r="G168" s="2"/>
      <c r="H168" s="2"/>
      <c r="I168" s="2"/>
      <c r="J168" s="2"/>
      <c r="K168" s="2"/>
      <c r="L168" s="2"/>
      <c r="M168" s="2"/>
      <c r="N168" s="2"/>
      <c r="O168" s="2"/>
      <c r="P168" s="2"/>
      <c r="Q168" s="2"/>
      <c r="R168" s="2"/>
      <c r="S168" s="2"/>
      <c r="T168" s="2"/>
      <c r="U168" s="2"/>
    </row>
    <row r="169" spans="1:21" customFormat="1" x14ac:dyDescent="0.5">
      <c r="A169" s="1"/>
      <c r="B169" s="2"/>
      <c r="C169" s="2"/>
      <c r="D169" s="2"/>
      <c r="E169" s="2"/>
      <c r="F169" s="2"/>
      <c r="G169" s="2"/>
      <c r="H169" s="2"/>
      <c r="I169" s="2"/>
      <c r="J169" s="2"/>
      <c r="K169" s="2"/>
      <c r="L169" s="2"/>
      <c r="M169" s="2"/>
      <c r="N169" s="2"/>
      <c r="O169" s="2"/>
      <c r="P169" s="2"/>
      <c r="Q169" s="2"/>
      <c r="R169" s="2"/>
      <c r="S169" s="2"/>
      <c r="T169" s="2"/>
      <c r="U169" s="2"/>
    </row>
    <row r="170" spans="1:21" customFormat="1" x14ac:dyDescent="0.5">
      <c r="A170" s="1"/>
      <c r="B170" s="2"/>
      <c r="C170" s="2"/>
      <c r="D170" s="2"/>
      <c r="E170" s="2"/>
      <c r="F170" s="2"/>
      <c r="G170" s="2"/>
      <c r="H170" s="2"/>
      <c r="I170" s="2"/>
      <c r="J170" s="2"/>
      <c r="K170" s="2"/>
      <c r="L170" s="2"/>
      <c r="M170" s="2"/>
      <c r="N170" s="2"/>
      <c r="O170" s="2"/>
      <c r="P170" s="2"/>
      <c r="Q170" s="2"/>
      <c r="R170" s="2"/>
      <c r="S170" s="2"/>
      <c r="T170" s="2"/>
      <c r="U170" s="2"/>
    </row>
    <row r="171" spans="1:21" customFormat="1" x14ac:dyDescent="0.5">
      <c r="A171" s="1"/>
      <c r="B171" s="2"/>
      <c r="C171" s="2"/>
      <c r="D171" s="2"/>
      <c r="E171" s="2"/>
      <c r="F171" s="2"/>
      <c r="G171" s="2"/>
      <c r="H171" s="2"/>
      <c r="I171" s="2"/>
      <c r="J171" s="2"/>
      <c r="K171" s="2"/>
      <c r="L171" s="2"/>
      <c r="M171" s="2"/>
      <c r="N171" s="2"/>
      <c r="O171" s="2"/>
      <c r="P171" s="2"/>
      <c r="Q171" s="2"/>
      <c r="R171" s="2"/>
      <c r="S171" s="2"/>
      <c r="T171" s="2"/>
      <c r="U171" s="2"/>
    </row>
    <row r="172" spans="1:21" customFormat="1" x14ac:dyDescent="0.5">
      <c r="A172" s="1"/>
      <c r="B172" s="2"/>
      <c r="C172" s="2"/>
      <c r="D172" s="2"/>
      <c r="E172" s="2"/>
      <c r="F172" s="2"/>
      <c r="G172" s="2"/>
      <c r="H172" s="2"/>
      <c r="I172" s="2"/>
      <c r="J172" s="2"/>
      <c r="K172" s="2"/>
      <c r="L172" s="2"/>
      <c r="M172" s="2"/>
      <c r="N172" s="2"/>
      <c r="O172" s="2"/>
      <c r="P172" s="2"/>
      <c r="Q172" s="2"/>
      <c r="R172" s="2"/>
      <c r="S172" s="2"/>
      <c r="T172" s="2"/>
      <c r="U172" s="2"/>
    </row>
    <row r="173" spans="1:21" customFormat="1" x14ac:dyDescent="0.5">
      <c r="A173" s="1"/>
      <c r="B173" s="2"/>
      <c r="C173" s="2"/>
      <c r="D173" s="2"/>
      <c r="E173" s="2"/>
      <c r="F173" s="2"/>
      <c r="G173" s="2"/>
      <c r="H173" s="2"/>
      <c r="I173" s="2"/>
      <c r="J173" s="2"/>
      <c r="K173" s="2"/>
      <c r="L173" s="2"/>
      <c r="M173" s="2"/>
      <c r="N173" s="2"/>
      <c r="O173" s="2"/>
      <c r="P173" s="2"/>
      <c r="Q173" s="2"/>
      <c r="R173" s="2"/>
      <c r="S173" s="2"/>
      <c r="T173" s="2"/>
      <c r="U173" s="2"/>
    </row>
    <row r="174" spans="1:21" customFormat="1" x14ac:dyDescent="0.5">
      <c r="A174" s="1"/>
      <c r="B174" s="2"/>
      <c r="C174" s="2"/>
      <c r="D174" s="2"/>
      <c r="E174" s="2"/>
      <c r="F174" s="2"/>
      <c r="G174" s="2"/>
      <c r="H174" s="2"/>
      <c r="I174" s="2"/>
      <c r="J174" s="2"/>
      <c r="K174" s="2"/>
      <c r="L174" s="2"/>
      <c r="M174" s="2"/>
      <c r="N174" s="2"/>
      <c r="O174" s="2"/>
      <c r="P174" s="2"/>
      <c r="Q174" s="2"/>
      <c r="R174" s="2"/>
      <c r="S174" s="2"/>
      <c r="T174" s="2"/>
      <c r="U174" s="2"/>
    </row>
    <row r="175" spans="1:21" customFormat="1" x14ac:dyDescent="0.5">
      <c r="A175" s="1"/>
      <c r="B175" s="2"/>
      <c r="C175" s="2"/>
      <c r="D175" s="2"/>
      <c r="E175" s="2"/>
      <c r="F175" s="2"/>
      <c r="G175" s="2"/>
      <c r="H175" s="2"/>
      <c r="I175" s="2"/>
      <c r="J175" s="2"/>
      <c r="K175" s="2"/>
      <c r="L175" s="2"/>
      <c r="M175" s="2"/>
      <c r="N175" s="2"/>
      <c r="O175" s="2"/>
      <c r="P175" s="2"/>
      <c r="Q175" s="2"/>
      <c r="R175" s="2"/>
      <c r="S175" s="2"/>
      <c r="T175" s="2"/>
      <c r="U175" s="2"/>
    </row>
    <row r="176" spans="1:21" customFormat="1" x14ac:dyDescent="0.5">
      <c r="A176" s="1"/>
      <c r="B176" s="2"/>
      <c r="C176" s="2"/>
      <c r="D176" s="2"/>
      <c r="E176" s="2"/>
      <c r="F176" s="2"/>
      <c r="G176" s="2"/>
      <c r="H176" s="2"/>
      <c r="I176" s="2"/>
      <c r="J176" s="2"/>
      <c r="K176" s="2"/>
      <c r="L176" s="2"/>
      <c r="M176" s="2"/>
      <c r="N176" s="2"/>
      <c r="O176" s="2"/>
      <c r="P176" s="2"/>
      <c r="Q176" s="2"/>
      <c r="R176" s="2"/>
      <c r="S176" s="2"/>
      <c r="T176" s="2"/>
      <c r="U176" s="2"/>
    </row>
    <row r="177" spans="1:21" customFormat="1" x14ac:dyDescent="0.5">
      <c r="A177" s="1"/>
      <c r="B177" s="2"/>
      <c r="C177" s="2"/>
      <c r="D177" s="2"/>
      <c r="E177" s="2"/>
      <c r="F177" s="2"/>
      <c r="G177" s="2"/>
      <c r="H177" s="2"/>
      <c r="I177" s="2"/>
      <c r="J177" s="2"/>
      <c r="K177" s="2"/>
      <c r="L177" s="2"/>
      <c r="M177" s="2"/>
      <c r="N177" s="2"/>
      <c r="O177" s="2"/>
      <c r="P177" s="2"/>
      <c r="Q177" s="2"/>
      <c r="R177" s="2"/>
      <c r="S177" s="2"/>
      <c r="T177" s="2"/>
      <c r="U177" s="2"/>
    </row>
    <row r="178" spans="1:21" customFormat="1" x14ac:dyDescent="0.5">
      <c r="A178" s="1"/>
      <c r="B178" s="2"/>
      <c r="C178" s="2"/>
      <c r="D178" s="2"/>
      <c r="E178" s="2"/>
      <c r="F178" s="2"/>
      <c r="G178" s="2"/>
      <c r="H178" s="2"/>
      <c r="I178" s="2"/>
      <c r="J178" s="2"/>
      <c r="K178" s="2"/>
      <c r="L178" s="2"/>
      <c r="M178" s="2"/>
      <c r="N178" s="2"/>
      <c r="O178" s="2"/>
      <c r="P178" s="2"/>
      <c r="Q178" s="2"/>
      <c r="R178" s="2"/>
      <c r="S178" s="2"/>
      <c r="T178" s="2"/>
      <c r="U178" s="2"/>
    </row>
    <row r="179" spans="1:21" customFormat="1" x14ac:dyDescent="0.5">
      <c r="A179" s="1"/>
      <c r="B179" s="2"/>
      <c r="C179" s="2"/>
      <c r="D179" s="2"/>
      <c r="E179" s="2"/>
      <c r="F179" s="2"/>
      <c r="G179" s="2"/>
      <c r="H179" s="2"/>
      <c r="I179" s="2"/>
      <c r="J179" s="2"/>
      <c r="K179" s="2"/>
      <c r="L179" s="2"/>
      <c r="M179" s="2"/>
      <c r="N179" s="2"/>
      <c r="O179" s="2"/>
      <c r="P179" s="2"/>
      <c r="Q179" s="2"/>
      <c r="R179" s="2"/>
      <c r="S179" s="2"/>
      <c r="T179" s="2"/>
      <c r="U179" s="2"/>
    </row>
    <row r="180" spans="1:21" customFormat="1" x14ac:dyDescent="0.5">
      <c r="A180" s="1"/>
      <c r="B180" s="2"/>
      <c r="C180" s="2"/>
      <c r="D180" s="2"/>
      <c r="E180" s="2"/>
      <c r="F180" s="2"/>
      <c r="G180" s="2"/>
      <c r="H180" s="2"/>
      <c r="I180" s="2"/>
      <c r="J180" s="2"/>
      <c r="K180" s="2"/>
      <c r="L180" s="2"/>
      <c r="M180" s="2"/>
      <c r="N180" s="2"/>
      <c r="O180" s="2"/>
      <c r="P180" s="2"/>
      <c r="Q180" s="2"/>
      <c r="R180" s="2"/>
      <c r="S180" s="2"/>
      <c r="T180" s="2"/>
      <c r="U180" s="2"/>
    </row>
    <row r="181" spans="1:21" customFormat="1" x14ac:dyDescent="0.5">
      <c r="A181" s="1"/>
      <c r="B181" s="2"/>
      <c r="C181" s="2"/>
      <c r="D181" s="2"/>
      <c r="E181" s="2"/>
      <c r="F181" s="2"/>
      <c r="G181" s="2"/>
      <c r="H181" s="2"/>
      <c r="I181" s="2"/>
      <c r="J181" s="2"/>
      <c r="K181" s="2"/>
      <c r="L181" s="2"/>
      <c r="M181" s="2"/>
      <c r="N181" s="2"/>
      <c r="O181" s="2"/>
      <c r="P181" s="2"/>
      <c r="Q181" s="2"/>
      <c r="R181" s="2"/>
      <c r="S181" s="2"/>
      <c r="T181" s="2"/>
      <c r="U181" s="2"/>
    </row>
    <row r="182" spans="1:21" customFormat="1" x14ac:dyDescent="0.5">
      <c r="A182" s="1"/>
      <c r="B182" s="2"/>
      <c r="C182" s="2"/>
      <c r="D182" s="2"/>
      <c r="E182" s="2"/>
      <c r="F182" s="2"/>
      <c r="G182" s="2"/>
      <c r="H182" s="2"/>
      <c r="I182" s="2"/>
      <c r="J182" s="2"/>
      <c r="K182" s="2"/>
      <c r="L182" s="2"/>
      <c r="M182" s="2"/>
      <c r="N182" s="2"/>
      <c r="O182" s="2"/>
      <c r="P182" s="2"/>
      <c r="Q182" s="2"/>
      <c r="R182" s="2"/>
      <c r="S182" s="2"/>
      <c r="T182" s="2"/>
      <c r="U182" s="2"/>
    </row>
    <row r="183" spans="1:21" customFormat="1" x14ac:dyDescent="0.5">
      <c r="A183" s="1"/>
      <c r="B183" s="2"/>
      <c r="C183" s="2"/>
      <c r="D183" s="2"/>
      <c r="E183" s="2"/>
      <c r="F183" s="2"/>
      <c r="G183" s="2"/>
      <c r="H183" s="2"/>
      <c r="I183" s="2"/>
      <c r="J183" s="2"/>
      <c r="K183" s="2"/>
      <c r="L183" s="2"/>
      <c r="M183" s="2"/>
      <c r="N183" s="2"/>
      <c r="O183" s="2"/>
      <c r="P183" s="2"/>
      <c r="Q183" s="2"/>
      <c r="R183" s="2"/>
      <c r="S183" s="2"/>
      <c r="T183" s="2"/>
      <c r="U183" s="2"/>
    </row>
    <row r="184" spans="1:21" customFormat="1" x14ac:dyDescent="0.5">
      <c r="A184" s="1"/>
      <c r="B184" s="2"/>
      <c r="C184" s="2"/>
      <c r="D184" s="2"/>
      <c r="E184" s="2"/>
      <c r="F184" s="2"/>
      <c r="G184" s="2"/>
      <c r="H184" s="2"/>
      <c r="I184" s="2"/>
      <c r="J184" s="2"/>
      <c r="K184" s="2"/>
      <c r="L184" s="2"/>
      <c r="M184" s="2"/>
      <c r="N184" s="2"/>
      <c r="O184" s="2"/>
      <c r="P184" s="2"/>
      <c r="Q184" s="2"/>
      <c r="R184" s="2"/>
      <c r="S184" s="2"/>
      <c r="T184" s="2"/>
      <c r="U184" s="2"/>
    </row>
    <row r="185" spans="1:21" customFormat="1" x14ac:dyDescent="0.5">
      <c r="A185" s="1"/>
      <c r="B185" s="2"/>
      <c r="C185" s="2"/>
      <c r="D185" s="2"/>
      <c r="E185" s="2"/>
      <c r="F185" s="2"/>
      <c r="G185" s="2"/>
      <c r="H185" s="2"/>
      <c r="I185" s="2"/>
      <c r="J185" s="2"/>
      <c r="K185" s="2"/>
      <c r="L185" s="2"/>
      <c r="M185" s="2"/>
      <c r="N185" s="2"/>
      <c r="O185" s="2"/>
      <c r="P185" s="2"/>
      <c r="Q185" s="2"/>
      <c r="R185" s="2"/>
      <c r="S185" s="2"/>
      <c r="T185" s="2"/>
      <c r="U185" s="2"/>
    </row>
    <row r="186" spans="1:21" customFormat="1" x14ac:dyDescent="0.5">
      <c r="A186" s="1"/>
      <c r="B186" s="2"/>
      <c r="C186" s="2"/>
      <c r="D186" s="2"/>
      <c r="E186" s="2"/>
      <c r="F186" s="2"/>
      <c r="G186" s="2"/>
      <c r="H186" s="2"/>
      <c r="I186" s="2"/>
      <c r="J186" s="2"/>
      <c r="K186" s="2"/>
      <c r="L186" s="2"/>
      <c r="M186" s="2"/>
      <c r="N186" s="2"/>
      <c r="O186" s="2"/>
      <c r="P186" s="2"/>
      <c r="Q186" s="2"/>
      <c r="R186" s="2"/>
      <c r="S186" s="2"/>
      <c r="T186" s="2"/>
      <c r="U186" s="2"/>
    </row>
    <row r="187" spans="1:21" customFormat="1" x14ac:dyDescent="0.5">
      <c r="A187" s="1"/>
      <c r="B187" s="2"/>
      <c r="C187" s="2"/>
      <c r="D187" s="2"/>
      <c r="E187" s="2"/>
      <c r="F187" s="2"/>
      <c r="G187" s="2"/>
      <c r="H187" s="2"/>
      <c r="I187" s="2"/>
      <c r="J187" s="2"/>
      <c r="K187" s="2"/>
      <c r="L187" s="2"/>
      <c r="M187" s="2"/>
      <c r="N187" s="2"/>
      <c r="O187" s="2"/>
      <c r="P187" s="2"/>
      <c r="Q187" s="2"/>
      <c r="R187" s="2"/>
      <c r="S187" s="2"/>
      <c r="T187" s="2"/>
      <c r="U187" s="2"/>
    </row>
    <row r="188" spans="1:21" customFormat="1" x14ac:dyDescent="0.5">
      <c r="A188" s="1"/>
      <c r="B188" s="2"/>
      <c r="C188" s="2"/>
      <c r="D188" s="2"/>
      <c r="E188" s="2"/>
      <c r="F188" s="2"/>
      <c r="G188" s="2"/>
      <c r="H188" s="2"/>
      <c r="I188" s="2"/>
      <c r="J188" s="2"/>
      <c r="K188" s="2"/>
      <c r="L188" s="2"/>
      <c r="M188" s="2"/>
      <c r="N188" s="2"/>
      <c r="O188" s="2"/>
      <c r="P188" s="2"/>
      <c r="Q188" s="2"/>
      <c r="R188" s="2"/>
      <c r="S188" s="2"/>
      <c r="T188" s="2"/>
      <c r="U188" s="2"/>
    </row>
    <row r="189" spans="1:21" customFormat="1" x14ac:dyDescent="0.5">
      <c r="A189" s="1"/>
      <c r="B189" s="2"/>
      <c r="C189" s="2"/>
      <c r="D189" s="2"/>
      <c r="E189" s="2"/>
      <c r="F189" s="2"/>
      <c r="G189" s="2"/>
      <c r="H189" s="2"/>
      <c r="I189" s="2"/>
      <c r="J189" s="2"/>
      <c r="K189" s="2"/>
      <c r="L189" s="2"/>
      <c r="M189" s="2"/>
      <c r="N189" s="2"/>
      <c r="O189" s="2"/>
      <c r="P189" s="2"/>
      <c r="Q189" s="2"/>
      <c r="R189" s="2"/>
      <c r="S189" s="2"/>
      <c r="T189" s="2"/>
      <c r="U189" s="2"/>
    </row>
    <row r="190" spans="1:21" customFormat="1" x14ac:dyDescent="0.5">
      <c r="A190" s="1"/>
      <c r="B190" s="2"/>
      <c r="C190" s="2"/>
      <c r="D190" s="2"/>
      <c r="E190" s="2"/>
      <c r="F190" s="2"/>
      <c r="G190" s="2"/>
      <c r="H190" s="2"/>
      <c r="I190" s="2"/>
      <c r="J190" s="2"/>
      <c r="K190" s="2"/>
      <c r="L190" s="2"/>
      <c r="M190" s="2"/>
      <c r="N190" s="2"/>
      <c r="O190" s="2"/>
      <c r="P190" s="2"/>
      <c r="Q190" s="2"/>
      <c r="R190" s="2"/>
      <c r="S190" s="2"/>
      <c r="T190" s="2"/>
      <c r="U190" s="2"/>
    </row>
    <row r="191" spans="1:21" customFormat="1" x14ac:dyDescent="0.5">
      <c r="A191" s="1"/>
      <c r="B191" s="2"/>
      <c r="C191" s="2"/>
      <c r="D191" s="2"/>
      <c r="E191" s="2"/>
      <c r="F191" s="2"/>
      <c r="G191" s="2"/>
      <c r="H191" s="2"/>
      <c r="I191" s="2"/>
      <c r="J191" s="2"/>
      <c r="K191" s="2"/>
      <c r="L191" s="2"/>
      <c r="M191" s="2"/>
      <c r="N191" s="2"/>
      <c r="O191" s="2"/>
      <c r="P191" s="2"/>
      <c r="Q191" s="2"/>
      <c r="R191" s="2"/>
      <c r="S191" s="2"/>
      <c r="T191" s="2"/>
      <c r="U191" s="2"/>
    </row>
    <row r="192" spans="1:21" customFormat="1" x14ac:dyDescent="0.5">
      <c r="A192" s="1"/>
      <c r="B192" s="2"/>
      <c r="C192" s="2"/>
      <c r="D192" s="2"/>
      <c r="E192" s="2"/>
      <c r="F192" s="2"/>
      <c r="G192" s="2"/>
      <c r="H192" s="2"/>
      <c r="I192" s="2"/>
      <c r="J192" s="2"/>
      <c r="K192" s="2"/>
      <c r="L192" s="2"/>
      <c r="M192" s="2"/>
      <c r="N192" s="2"/>
      <c r="O192" s="2"/>
      <c r="P192" s="2"/>
      <c r="Q192" s="2"/>
      <c r="R192" s="2"/>
      <c r="S192" s="2"/>
      <c r="T192" s="2"/>
      <c r="U192" s="2"/>
    </row>
    <row r="193" spans="1:21" customFormat="1" x14ac:dyDescent="0.5">
      <c r="A193" s="1"/>
      <c r="B193" s="2"/>
      <c r="C193" s="2"/>
      <c r="D193" s="2"/>
      <c r="E193" s="2"/>
      <c r="F193" s="2"/>
      <c r="G193" s="2"/>
      <c r="H193" s="2"/>
      <c r="I193" s="2"/>
      <c r="J193" s="2"/>
      <c r="K193" s="2"/>
      <c r="L193" s="2"/>
      <c r="M193" s="2"/>
      <c r="N193" s="2"/>
      <c r="O193" s="2"/>
      <c r="P193" s="2"/>
      <c r="Q193" s="2"/>
      <c r="R193" s="2"/>
      <c r="S193" s="2"/>
      <c r="T193" s="2"/>
      <c r="U193" s="2"/>
    </row>
    <row r="194" spans="1:21" customFormat="1" x14ac:dyDescent="0.5">
      <c r="A194" s="1"/>
      <c r="B194" s="2"/>
      <c r="C194" s="2"/>
      <c r="D194" s="2"/>
      <c r="E194" s="2"/>
      <c r="F194" s="2"/>
      <c r="G194" s="2"/>
      <c r="H194" s="2"/>
      <c r="I194" s="2"/>
      <c r="J194" s="2"/>
      <c r="K194" s="2"/>
      <c r="L194" s="2"/>
      <c r="M194" s="2"/>
      <c r="N194" s="2"/>
      <c r="O194" s="2"/>
      <c r="P194" s="2"/>
      <c r="Q194" s="2"/>
      <c r="R194" s="2"/>
      <c r="S194" s="2"/>
      <c r="T194" s="2"/>
      <c r="U194" s="2"/>
    </row>
    <row r="195" spans="1:21" customFormat="1" x14ac:dyDescent="0.5">
      <c r="A195" s="1"/>
      <c r="B195" s="2"/>
      <c r="C195" s="2"/>
      <c r="D195" s="2"/>
      <c r="E195" s="2"/>
      <c r="F195" s="2"/>
      <c r="G195" s="2"/>
      <c r="H195" s="2"/>
      <c r="I195" s="2"/>
      <c r="J195" s="2"/>
      <c r="K195" s="2"/>
      <c r="L195" s="2"/>
      <c r="M195" s="2"/>
      <c r="N195" s="2"/>
      <c r="O195" s="2"/>
      <c r="P195" s="2"/>
      <c r="Q195" s="2"/>
      <c r="R195" s="2"/>
      <c r="S195" s="2"/>
      <c r="T195" s="2"/>
      <c r="U195" s="2"/>
    </row>
    <row r="196" spans="1:21" customFormat="1" x14ac:dyDescent="0.5">
      <c r="A196" s="1"/>
      <c r="B196" s="2"/>
      <c r="C196" s="2"/>
      <c r="D196" s="2"/>
      <c r="E196" s="2"/>
      <c r="F196" s="2"/>
      <c r="G196" s="2"/>
      <c r="H196" s="2"/>
      <c r="I196" s="2"/>
      <c r="J196" s="2"/>
      <c r="K196" s="2"/>
      <c r="L196" s="2"/>
      <c r="M196" s="2"/>
      <c r="N196" s="2"/>
      <c r="O196" s="2"/>
      <c r="P196" s="2"/>
      <c r="Q196" s="2"/>
      <c r="R196" s="2"/>
      <c r="S196" s="2"/>
      <c r="T196" s="2"/>
      <c r="U196" s="2"/>
    </row>
    <row r="197" spans="1:21" customFormat="1" x14ac:dyDescent="0.5">
      <c r="A197" s="1"/>
      <c r="B197" s="2"/>
      <c r="C197" s="2"/>
      <c r="D197" s="2"/>
      <c r="E197" s="2"/>
      <c r="F197" s="2"/>
      <c r="G197" s="2"/>
      <c r="H197" s="2"/>
      <c r="I197" s="2"/>
      <c r="J197" s="2"/>
      <c r="K197" s="2"/>
      <c r="L197" s="2"/>
      <c r="M197" s="2"/>
      <c r="N197" s="2"/>
      <c r="O197" s="2"/>
      <c r="P197" s="2"/>
      <c r="Q197" s="2"/>
      <c r="R197" s="2"/>
      <c r="S197" s="2"/>
      <c r="T197" s="2"/>
      <c r="U197" s="2"/>
    </row>
    <row r="198" spans="1:21" customFormat="1" x14ac:dyDescent="0.5">
      <c r="A198" s="1"/>
      <c r="B198" s="2"/>
      <c r="C198" s="2"/>
      <c r="D198" s="2"/>
      <c r="E198" s="2"/>
      <c r="F198" s="2"/>
      <c r="G198" s="2"/>
      <c r="H198" s="2"/>
      <c r="I198" s="2"/>
      <c r="J198" s="2"/>
      <c r="K198" s="2"/>
      <c r="L198" s="2"/>
      <c r="M198" s="2"/>
      <c r="N198" s="2"/>
      <c r="O198" s="2"/>
      <c r="P198" s="2"/>
      <c r="Q198" s="2"/>
      <c r="R198" s="2"/>
      <c r="S198" s="2"/>
      <c r="T198" s="2"/>
      <c r="U198" s="2"/>
    </row>
    <row r="199" spans="1:21" customFormat="1" x14ac:dyDescent="0.5">
      <c r="A199" s="1"/>
      <c r="B199" s="2"/>
      <c r="C199" s="2"/>
      <c r="D199" s="2"/>
      <c r="E199" s="2"/>
      <c r="F199" s="2"/>
      <c r="G199" s="2"/>
      <c r="H199" s="2"/>
      <c r="I199" s="2"/>
      <c r="J199" s="2"/>
      <c r="K199" s="2"/>
      <c r="L199" s="2"/>
      <c r="M199" s="2"/>
      <c r="N199" s="2"/>
      <c r="O199" s="2"/>
      <c r="P199" s="2"/>
      <c r="Q199" s="2"/>
      <c r="R199" s="2"/>
      <c r="S199" s="2"/>
      <c r="T199" s="2"/>
      <c r="U199" s="2"/>
    </row>
    <row r="200" spans="1:21" customFormat="1" x14ac:dyDescent="0.5">
      <c r="A200" s="1"/>
      <c r="B200" s="2"/>
      <c r="C200" s="2"/>
      <c r="D200" s="2"/>
      <c r="E200" s="2"/>
      <c r="F200" s="2"/>
      <c r="G200" s="2"/>
      <c r="H200" s="2"/>
      <c r="I200" s="2"/>
      <c r="J200" s="2"/>
      <c r="K200" s="2"/>
      <c r="L200" s="2"/>
      <c r="M200" s="2"/>
      <c r="N200" s="2"/>
      <c r="O200" s="2"/>
      <c r="P200" s="2"/>
      <c r="Q200" s="2"/>
      <c r="R200" s="2"/>
      <c r="S200" s="2"/>
      <c r="T200" s="2"/>
      <c r="U200" s="2"/>
    </row>
    <row r="201" spans="1:21" customFormat="1" x14ac:dyDescent="0.5">
      <c r="A201" s="1"/>
      <c r="B201" s="2"/>
      <c r="C201" s="2"/>
      <c r="D201" s="2"/>
      <c r="E201" s="2"/>
      <c r="F201" s="2"/>
      <c r="G201" s="2"/>
      <c r="H201" s="2"/>
      <c r="I201" s="2"/>
      <c r="J201" s="2"/>
      <c r="K201" s="2"/>
      <c r="L201" s="2"/>
      <c r="M201" s="2"/>
      <c r="N201" s="2"/>
      <c r="O201" s="2"/>
      <c r="P201" s="2"/>
      <c r="Q201" s="2"/>
      <c r="R201" s="2"/>
      <c r="S201" s="2"/>
      <c r="T201" s="2"/>
      <c r="U201" s="2"/>
    </row>
    <row r="202" spans="1:21" customFormat="1" x14ac:dyDescent="0.5">
      <c r="A202" s="1"/>
      <c r="B202" s="2"/>
      <c r="C202" s="2"/>
      <c r="D202" s="2"/>
      <c r="E202" s="2"/>
      <c r="F202" s="2"/>
      <c r="G202" s="2"/>
      <c r="H202" s="2"/>
      <c r="I202" s="2"/>
      <c r="J202" s="2"/>
      <c r="K202" s="2"/>
      <c r="L202" s="2"/>
      <c r="M202" s="2"/>
      <c r="N202" s="2"/>
      <c r="O202" s="2"/>
      <c r="P202" s="2"/>
      <c r="Q202" s="2"/>
      <c r="R202" s="2"/>
      <c r="S202" s="2"/>
      <c r="T202" s="2"/>
      <c r="U202" s="2"/>
    </row>
    <row r="203" spans="1:21" customFormat="1" x14ac:dyDescent="0.5">
      <c r="A203" s="1"/>
      <c r="B203" s="2"/>
      <c r="C203" s="2"/>
      <c r="D203" s="2"/>
      <c r="E203" s="2"/>
      <c r="F203" s="2"/>
      <c r="G203" s="2"/>
      <c r="H203" s="2"/>
      <c r="I203" s="2"/>
      <c r="J203" s="2"/>
      <c r="K203" s="2"/>
      <c r="L203" s="2"/>
      <c r="M203" s="2"/>
      <c r="N203" s="2"/>
      <c r="O203" s="2"/>
      <c r="P203" s="2"/>
      <c r="Q203" s="2"/>
      <c r="R203" s="2"/>
      <c r="S203" s="2"/>
      <c r="T203" s="2"/>
      <c r="U203" s="2"/>
    </row>
    <row r="204" spans="1:21" customFormat="1" x14ac:dyDescent="0.5">
      <c r="A204" s="1"/>
      <c r="B204" s="2"/>
      <c r="C204" s="2"/>
      <c r="D204" s="2"/>
      <c r="E204" s="2"/>
      <c r="F204" s="2"/>
      <c r="G204" s="2"/>
      <c r="H204" s="2"/>
      <c r="I204" s="2"/>
      <c r="J204" s="2"/>
      <c r="K204" s="2"/>
      <c r="L204" s="2"/>
      <c r="M204" s="2"/>
      <c r="N204" s="2"/>
      <c r="O204" s="2"/>
      <c r="P204" s="2"/>
      <c r="Q204" s="2"/>
      <c r="R204" s="2"/>
      <c r="S204" s="2"/>
      <c r="T204" s="2"/>
      <c r="U204" s="2"/>
    </row>
    <row r="205" spans="1:21" customFormat="1" x14ac:dyDescent="0.5">
      <c r="A205" s="1"/>
      <c r="B205" s="2"/>
      <c r="C205" s="2"/>
      <c r="D205" s="2"/>
      <c r="E205" s="2"/>
      <c r="F205" s="2"/>
      <c r="G205" s="2"/>
      <c r="H205" s="2"/>
      <c r="I205" s="2"/>
      <c r="J205" s="2"/>
      <c r="K205" s="2"/>
      <c r="L205" s="2"/>
      <c r="M205" s="2"/>
      <c r="N205" s="2"/>
      <c r="O205" s="2"/>
      <c r="P205" s="2"/>
      <c r="Q205" s="2"/>
      <c r="R205" s="2"/>
      <c r="S205" s="2"/>
      <c r="T205" s="2"/>
      <c r="U205" s="2"/>
    </row>
    <row r="206" spans="1:21" customFormat="1" x14ac:dyDescent="0.5">
      <c r="A206" s="1"/>
      <c r="B206" s="2"/>
      <c r="C206" s="2"/>
      <c r="D206" s="2"/>
      <c r="E206" s="2"/>
      <c r="F206" s="2"/>
      <c r="G206" s="2"/>
      <c r="H206" s="2"/>
      <c r="I206" s="2"/>
      <c r="J206" s="2"/>
      <c r="K206" s="2"/>
      <c r="L206" s="2"/>
      <c r="M206" s="2"/>
      <c r="N206" s="2"/>
      <c r="O206" s="2"/>
      <c r="P206" s="2"/>
      <c r="Q206" s="2"/>
      <c r="R206" s="2"/>
      <c r="S206" s="2"/>
      <c r="T206" s="2"/>
      <c r="U206" s="2"/>
    </row>
    <row r="207" spans="1:21" customFormat="1" x14ac:dyDescent="0.5">
      <c r="A207" s="1"/>
      <c r="B207" s="2"/>
      <c r="C207" s="2"/>
      <c r="D207" s="2"/>
      <c r="E207" s="2"/>
      <c r="F207" s="2"/>
      <c r="G207" s="2"/>
      <c r="H207" s="2"/>
      <c r="I207" s="2"/>
      <c r="J207" s="2"/>
      <c r="K207" s="2"/>
      <c r="L207" s="2"/>
      <c r="M207" s="2"/>
      <c r="N207" s="2"/>
      <c r="O207" s="2"/>
      <c r="P207" s="2"/>
      <c r="Q207" s="2"/>
      <c r="R207" s="2"/>
      <c r="S207" s="2"/>
      <c r="T207" s="2"/>
      <c r="U207" s="2"/>
    </row>
    <row r="208" spans="1:21" customFormat="1" x14ac:dyDescent="0.5">
      <c r="A208" s="1"/>
      <c r="B208" s="2"/>
      <c r="C208" s="2"/>
      <c r="D208" s="2"/>
      <c r="E208" s="2"/>
      <c r="F208" s="2"/>
      <c r="G208" s="2"/>
      <c r="H208" s="2"/>
      <c r="I208" s="2"/>
      <c r="J208" s="2"/>
      <c r="K208" s="2"/>
      <c r="L208" s="2"/>
      <c r="M208" s="2"/>
      <c r="N208" s="2"/>
      <c r="O208" s="2"/>
      <c r="P208" s="2"/>
      <c r="Q208" s="2"/>
      <c r="R208" s="2"/>
      <c r="S208" s="2"/>
      <c r="T208" s="2"/>
      <c r="U208" s="2"/>
    </row>
    <row r="209" spans="1:21" customFormat="1" x14ac:dyDescent="0.5">
      <c r="A209" s="1"/>
      <c r="B209" s="2"/>
      <c r="C209" s="2"/>
      <c r="D209" s="2"/>
      <c r="E209" s="2"/>
      <c r="F209" s="2"/>
      <c r="G209" s="2"/>
      <c r="H209" s="2"/>
      <c r="I209" s="2"/>
      <c r="J209" s="2"/>
      <c r="K209" s="2"/>
      <c r="L209" s="2"/>
      <c r="M209" s="2"/>
      <c r="N209" s="2"/>
      <c r="O209" s="2"/>
      <c r="P209" s="2"/>
      <c r="Q209" s="2"/>
      <c r="R209" s="2"/>
      <c r="S209" s="2"/>
      <c r="T209" s="2"/>
      <c r="U209" s="2"/>
    </row>
    <row r="210" spans="1:21" customFormat="1" x14ac:dyDescent="0.5">
      <c r="A210" s="1"/>
      <c r="B210" s="2"/>
      <c r="C210" s="2"/>
      <c r="D210" s="2"/>
      <c r="E210" s="2"/>
      <c r="F210" s="2"/>
      <c r="G210" s="2"/>
      <c r="H210" s="2"/>
      <c r="I210" s="2"/>
      <c r="J210" s="2"/>
      <c r="K210" s="2"/>
      <c r="L210" s="2"/>
      <c r="M210" s="2"/>
      <c r="N210" s="2"/>
      <c r="O210" s="2"/>
      <c r="P210" s="2"/>
      <c r="Q210" s="2"/>
      <c r="R210" s="2"/>
      <c r="S210" s="2"/>
      <c r="T210" s="2"/>
      <c r="U210" s="2"/>
    </row>
    <row r="211" spans="1:21" customFormat="1" x14ac:dyDescent="0.5">
      <c r="A211" s="1"/>
      <c r="B211" s="2"/>
      <c r="C211" s="2"/>
      <c r="D211" s="2"/>
      <c r="E211" s="2"/>
      <c r="F211" s="2"/>
      <c r="G211" s="2"/>
      <c r="H211" s="2"/>
      <c r="I211" s="2"/>
      <c r="J211" s="2"/>
      <c r="K211" s="2"/>
      <c r="L211" s="2"/>
      <c r="M211" s="2"/>
      <c r="N211" s="2"/>
      <c r="O211" s="2"/>
      <c r="P211" s="2"/>
      <c r="Q211" s="2"/>
      <c r="R211" s="2"/>
      <c r="S211" s="2"/>
      <c r="T211" s="2"/>
      <c r="U211" s="2"/>
    </row>
    <row r="212" spans="1:21" customFormat="1" x14ac:dyDescent="0.5">
      <c r="A212" s="1"/>
      <c r="B212" s="2"/>
      <c r="C212" s="2"/>
      <c r="D212" s="2"/>
      <c r="E212" s="2"/>
      <c r="F212" s="2"/>
      <c r="G212" s="2"/>
      <c r="H212" s="2"/>
      <c r="I212" s="2"/>
      <c r="J212" s="2"/>
      <c r="K212" s="2"/>
      <c r="L212" s="2"/>
      <c r="M212" s="2"/>
      <c r="N212" s="2"/>
      <c r="O212" s="2"/>
      <c r="P212" s="2"/>
      <c r="Q212" s="2"/>
      <c r="R212" s="2"/>
      <c r="S212" s="2"/>
      <c r="T212" s="2"/>
      <c r="U212" s="2"/>
    </row>
    <row r="213" spans="1:21" customFormat="1" x14ac:dyDescent="0.5">
      <c r="A213" s="1"/>
      <c r="B213" s="2"/>
      <c r="C213" s="2"/>
      <c r="D213" s="2"/>
      <c r="E213" s="2"/>
      <c r="F213" s="2"/>
      <c r="G213" s="2"/>
      <c r="H213" s="2"/>
      <c r="I213" s="2"/>
      <c r="J213" s="2"/>
      <c r="K213" s="2"/>
      <c r="L213" s="2"/>
      <c r="M213" s="2"/>
      <c r="N213" s="2"/>
      <c r="O213" s="2"/>
      <c r="P213" s="2"/>
      <c r="Q213" s="2"/>
      <c r="R213" s="2"/>
      <c r="S213" s="2"/>
      <c r="T213" s="2"/>
      <c r="U213" s="2"/>
    </row>
    <row r="214" spans="1:21" customFormat="1" x14ac:dyDescent="0.5">
      <c r="A214" s="1"/>
      <c r="B214" s="2"/>
      <c r="C214" s="2"/>
      <c r="D214" s="2"/>
      <c r="E214" s="2"/>
      <c r="F214" s="2"/>
      <c r="G214" s="2"/>
      <c r="H214" s="2"/>
      <c r="I214" s="2"/>
      <c r="J214" s="2"/>
      <c r="K214" s="2"/>
      <c r="L214" s="2"/>
      <c r="M214" s="2"/>
      <c r="N214" s="2"/>
      <c r="O214" s="2"/>
      <c r="P214" s="2"/>
      <c r="Q214" s="2"/>
      <c r="R214" s="2"/>
      <c r="S214" s="2"/>
      <c r="T214" s="2"/>
      <c r="U214" s="2"/>
    </row>
    <row r="215" spans="1:21" customFormat="1" x14ac:dyDescent="0.5">
      <c r="A215" s="1"/>
      <c r="B215" s="2"/>
      <c r="C215" s="2"/>
      <c r="D215" s="2"/>
      <c r="E215" s="2"/>
      <c r="F215" s="2"/>
      <c r="G215" s="2"/>
      <c r="H215" s="2"/>
      <c r="I215" s="2"/>
      <c r="J215" s="2"/>
      <c r="K215" s="2"/>
      <c r="L215" s="2"/>
      <c r="M215" s="2"/>
      <c r="N215" s="2"/>
      <c r="O215" s="2"/>
      <c r="P215" s="2"/>
      <c r="Q215" s="2"/>
      <c r="R215" s="2"/>
      <c r="S215" s="2"/>
      <c r="T215" s="2"/>
      <c r="U215" s="2"/>
    </row>
    <row r="216" spans="1:21" customFormat="1" x14ac:dyDescent="0.5">
      <c r="A216" s="1"/>
      <c r="B216" s="2"/>
      <c r="C216" s="2"/>
      <c r="D216" s="2"/>
      <c r="E216" s="2"/>
      <c r="F216" s="2"/>
      <c r="G216" s="2"/>
      <c r="H216" s="2"/>
      <c r="I216" s="2"/>
      <c r="J216" s="2"/>
      <c r="K216" s="2"/>
      <c r="L216" s="2"/>
      <c r="M216" s="2"/>
      <c r="N216" s="2"/>
      <c r="O216" s="2"/>
      <c r="P216" s="2"/>
      <c r="Q216" s="2"/>
      <c r="R216" s="2"/>
      <c r="S216" s="2"/>
      <c r="T216" s="2"/>
      <c r="U216" s="2"/>
    </row>
    <row r="217" spans="1:21" customFormat="1" x14ac:dyDescent="0.5">
      <c r="A217" s="1"/>
      <c r="B217" s="2"/>
      <c r="C217" s="2"/>
      <c r="D217" s="2"/>
      <c r="E217" s="2"/>
      <c r="F217" s="2"/>
      <c r="G217" s="2"/>
      <c r="H217" s="2"/>
      <c r="I217" s="2"/>
      <c r="J217" s="2"/>
      <c r="K217" s="2"/>
      <c r="L217" s="2"/>
      <c r="M217" s="2"/>
      <c r="N217" s="2"/>
      <c r="O217" s="2"/>
      <c r="P217" s="2"/>
      <c r="Q217" s="2"/>
      <c r="R217" s="2"/>
      <c r="S217" s="2"/>
      <c r="T217" s="2"/>
      <c r="U217" s="2"/>
    </row>
    <row r="218" spans="1:21" customFormat="1" x14ac:dyDescent="0.5">
      <c r="A218" s="1"/>
      <c r="B218" s="2"/>
      <c r="C218" s="2"/>
      <c r="D218" s="2"/>
      <c r="E218" s="2"/>
      <c r="F218" s="2"/>
      <c r="G218" s="2"/>
      <c r="H218" s="2"/>
      <c r="I218" s="2"/>
      <c r="J218" s="2"/>
      <c r="K218" s="2"/>
      <c r="L218" s="2"/>
      <c r="M218" s="2"/>
      <c r="N218" s="2"/>
      <c r="O218" s="2"/>
      <c r="P218" s="2"/>
      <c r="Q218" s="2"/>
      <c r="R218" s="2"/>
      <c r="S218" s="2"/>
      <c r="T218" s="2"/>
      <c r="U218" s="2"/>
    </row>
    <row r="219" spans="1:21" customFormat="1" x14ac:dyDescent="0.5">
      <c r="A219" s="1"/>
      <c r="B219" s="2"/>
      <c r="C219" s="2"/>
      <c r="D219" s="2"/>
      <c r="E219" s="2"/>
      <c r="F219" s="2"/>
      <c r="G219" s="2"/>
      <c r="H219" s="2"/>
      <c r="I219" s="2"/>
      <c r="J219" s="2"/>
      <c r="K219" s="2"/>
      <c r="L219" s="2"/>
      <c r="M219" s="2"/>
      <c r="N219" s="2"/>
      <c r="O219" s="2"/>
      <c r="P219" s="2"/>
      <c r="Q219" s="2"/>
      <c r="R219" s="2"/>
      <c r="S219" s="2"/>
      <c r="T219" s="2"/>
      <c r="U219" s="2"/>
    </row>
    <row r="220" spans="1:21" customFormat="1" x14ac:dyDescent="0.5">
      <c r="A220" s="1"/>
      <c r="B220" s="2"/>
      <c r="C220" s="2"/>
      <c r="D220" s="2"/>
      <c r="E220" s="2"/>
      <c r="F220" s="2"/>
      <c r="G220" s="2"/>
      <c r="H220" s="2"/>
      <c r="I220" s="2"/>
      <c r="J220" s="2"/>
      <c r="K220" s="2"/>
      <c r="L220" s="2"/>
      <c r="M220" s="2"/>
      <c r="N220" s="2"/>
      <c r="O220" s="2"/>
      <c r="P220" s="2"/>
      <c r="Q220" s="2"/>
      <c r="R220" s="2"/>
      <c r="S220" s="2"/>
      <c r="T220" s="2"/>
      <c r="U220" s="2"/>
    </row>
    <row r="221" spans="1:21" customFormat="1" x14ac:dyDescent="0.5">
      <c r="A221" s="1"/>
      <c r="B221" s="2"/>
      <c r="C221" s="2"/>
      <c r="D221" s="2"/>
      <c r="E221" s="2"/>
      <c r="F221" s="2"/>
      <c r="G221" s="2"/>
      <c r="H221" s="2"/>
      <c r="I221" s="2"/>
      <c r="J221" s="2"/>
      <c r="K221" s="2"/>
      <c r="L221" s="2"/>
      <c r="M221" s="2"/>
      <c r="N221" s="2"/>
      <c r="O221" s="2"/>
      <c r="P221" s="2"/>
      <c r="Q221" s="2"/>
      <c r="R221" s="2"/>
      <c r="S221" s="2"/>
      <c r="T221" s="2"/>
      <c r="U221" s="2"/>
    </row>
    <row r="222" spans="1:21" customFormat="1" x14ac:dyDescent="0.5">
      <c r="A222" s="1"/>
      <c r="B222" s="2"/>
      <c r="C222" s="2"/>
      <c r="D222" s="2"/>
      <c r="E222" s="2"/>
      <c r="F222" s="2"/>
      <c r="G222" s="2"/>
      <c r="H222" s="2"/>
      <c r="I222" s="2"/>
      <c r="J222" s="2"/>
      <c r="K222" s="2"/>
      <c r="L222" s="2"/>
      <c r="M222" s="2"/>
      <c r="N222" s="2"/>
      <c r="O222" s="2"/>
      <c r="P222" s="2"/>
      <c r="Q222" s="2"/>
      <c r="R222" s="2"/>
      <c r="S222" s="2"/>
      <c r="T222" s="2"/>
      <c r="U222" s="2"/>
    </row>
    <row r="223" spans="1:21" customFormat="1" x14ac:dyDescent="0.5">
      <c r="A223" s="1"/>
      <c r="B223" s="2"/>
      <c r="C223" s="2"/>
      <c r="D223" s="2"/>
      <c r="E223" s="2"/>
      <c r="F223" s="2"/>
      <c r="G223" s="2"/>
      <c r="H223" s="2"/>
      <c r="I223" s="2"/>
      <c r="J223" s="2"/>
      <c r="K223" s="2"/>
      <c r="L223" s="2"/>
      <c r="M223" s="2"/>
      <c r="N223" s="2"/>
      <c r="O223" s="2"/>
      <c r="P223" s="2"/>
      <c r="Q223" s="2"/>
      <c r="R223" s="2"/>
      <c r="S223" s="2"/>
      <c r="T223" s="2"/>
      <c r="U223" s="2"/>
    </row>
    <row r="224" spans="1:21" customFormat="1" x14ac:dyDescent="0.5">
      <c r="A224" s="1"/>
      <c r="B224" s="2"/>
      <c r="C224" s="2"/>
      <c r="D224" s="2"/>
      <c r="E224" s="2"/>
      <c r="F224" s="2"/>
      <c r="G224" s="2"/>
      <c r="H224" s="2"/>
      <c r="I224" s="2"/>
      <c r="J224" s="2"/>
      <c r="K224" s="2"/>
      <c r="L224" s="2"/>
      <c r="M224" s="2"/>
      <c r="N224" s="2"/>
      <c r="O224" s="2"/>
      <c r="P224" s="2"/>
      <c r="Q224" s="2"/>
      <c r="R224" s="2"/>
      <c r="S224" s="2"/>
      <c r="T224" s="2"/>
      <c r="U224" s="2"/>
    </row>
    <row r="225" spans="1:21" customFormat="1" x14ac:dyDescent="0.5">
      <c r="A225" s="1"/>
      <c r="B225" s="2"/>
      <c r="C225" s="2"/>
      <c r="D225" s="2"/>
      <c r="E225" s="2"/>
      <c r="F225" s="2"/>
      <c r="G225" s="2"/>
      <c r="H225" s="2"/>
      <c r="I225" s="2"/>
      <c r="J225" s="2"/>
      <c r="K225" s="2"/>
      <c r="L225" s="2"/>
      <c r="M225" s="2"/>
      <c r="N225" s="2"/>
      <c r="O225" s="2"/>
      <c r="P225" s="2"/>
      <c r="Q225" s="2"/>
      <c r="R225" s="2"/>
      <c r="S225" s="2"/>
      <c r="T225" s="2"/>
      <c r="U225" s="2"/>
    </row>
    <row r="226" spans="1:21" customFormat="1" x14ac:dyDescent="0.5">
      <c r="A226" s="1"/>
      <c r="B226" s="2"/>
      <c r="C226" s="2"/>
      <c r="D226" s="2"/>
      <c r="E226" s="2"/>
      <c r="F226" s="2"/>
      <c r="G226" s="2"/>
      <c r="H226" s="2"/>
      <c r="I226" s="2"/>
      <c r="J226" s="2"/>
      <c r="K226" s="2"/>
      <c r="L226" s="2"/>
      <c r="M226" s="2"/>
      <c r="N226" s="2"/>
      <c r="O226" s="2"/>
      <c r="P226" s="2"/>
      <c r="Q226" s="2"/>
      <c r="R226" s="2"/>
      <c r="S226" s="2"/>
      <c r="T226" s="2"/>
      <c r="U226" s="2"/>
    </row>
    <row r="227" spans="1:21" customFormat="1" x14ac:dyDescent="0.5">
      <c r="A227" s="1"/>
      <c r="B227" s="2"/>
      <c r="C227" s="2"/>
      <c r="D227" s="2"/>
      <c r="E227" s="2"/>
      <c r="F227" s="2"/>
      <c r="G227" s="2"/>
      <c r="H227" s="2"/>
      <c r="I227" s="2"/>
      <c r="J227" s="2"/>
      <c r="K227" s="2"/>
      <c r="L227" s="2"/>
      <c r="M227" s="2"/>
      <c r="N227" s="2"/>
      <c r="O227" s="2"/>
      <c r="P227" s="2"/>
      <c r="Q227" s="2"/>
      <c r="R227" s="2"/>
      <c r="S227" s="2"/>
      <c r="T227" s="2"/>
      <c r="U227" s="2"/>
    </row>
    <row r="228" spans="1:21" customFormat="1" x14ac:dyDescent="0.5">
      <c r="A228" s="1"/>
      <c r="B228" s="2"/>
      <c r="C228" s="2"/>
      <c r="D228" s="2"/>
      <c r="E228" s="2"/>
      <c r="F228" s="2"/>
      <c r="G228" s="2"/>
      <c r="H228" s="2"/>
      <c r="I228" s="2"/>
      <c r="J228" s="2"/>
      <c r="K228" s="2"/>
      <c r="L228" s="2"/>
      <c r="M228" s="2"/>
      <c r="N228" s="2"/>
      <c r="O228" s="2"/>
      <c r="P228" s="2"/>
      <c r="Q228" s="2"/>
      <c r="R228" s="2"/>
      <c r="S228" s="2"/>
      <c r="T228" s="2"/>
      <c r="U228" s="2"/>
    </row>
    <row r="229" spans="1:21" customFormat="1" x14ac:dyDescent="0.5">
      <c r="A229" s="1"/>
      <c r="B229" s="2"/>
      <c r="C229" s="2"/>
      <c r="D229" s="2"/>
      <c r="E229" s="2"/>
      <c r="F229" s="2"/>
      <c r="G229" s="2"/>
      <c r="H229" s="2"/>
      <c r="I229" s="2"/>
      <c r="J229" s="2"/>
      <c r="K229" s="2"/>
      <c r="L229" s="2"/>
      <c r="M229" s="2"/>
      <c r="N229" s="2"/>
      <c r="O229" s="2"/>
      <c r="P229" s="2"/>
      <c r="Q229" s="2"/>
      <c r="R229" s="2"/>
      <c r="S229" s="2"/>
      <c r="T229" s="2"/>
      <c r="U229" s="2"/>
    </row>
    <row r="230" spans="1:21" customFormat="1" x14ac:dyDescent="0.5">
      <c r="A230" s="1"/>
      <c r="B230" s="2"/>
      <c r="C230" s="2"/>
      <c r="D230" s="2"/>
      <c r="E230" s="2"/>
      <c r="F230" s="2"/>
      <c r="G230" s="2"/>
      <c r="H230" s="2"/>
      <c r="I230" s="2"/>
      <c r="J230" s="2"/>
      <c r="K230" s="2"/>
      <c r="L230" s="2"/>
      <c r="M230" s="2"/>
      <c r="N230" s="2"/>
      <c r="O230" s="2"/>
      <c r="P230" s="2"/>
      <c r="Q230" s="2"/>
      <c r="R230" s="2"/>
      <c r="S230" s="2"/>
      <c r="T230" s="2"/>
      <c r="U230" s="2"/>
    </row>
    <row r="231" spans="1:21" customFormat="1" x14ac:dyDescent="0.5">
      <c r="A231" s="1"/>
      <c r="B231" s="2"/>
      <c r="C231" s="2"/>
      <c r="D231" s="2"/>
      <c r="E231" s="2"/>
      <c r="F231" s="2"/>
      <c r="G231" s="2"/>
      <c r="H231" s="2"/>
      <c r="I231" s="2"/>
      <c r="J231" s="2"/>
      <c r="K231" s="2"/>
      <c r="L231" s="2"/>
      <c r="M231" s="2"/>
      <c r="N231" s="2"/>
      <c r="O231" s="2"/>
      <c r="P231" s="2"/>
      <c r="Q231" s="2"/>
      <c r="R231" s="2"/>
      <c r="S231" s="2"/>
      <c r="T231" s="2"/>
      <c r="U231" s="2"/>
    </row>
    <row r="232" spans="1:21" customFormat="1" x14ac:dyDescent="0.5">
      <c r="A232" s="1"/>
      <c r="B232" s="2"/>
      <c r="C232" s="2"/>
      <c r="D232" s="2"/>
      <c r="E232" s="2"/>
      <c r="F232" s="2"/>
      <c r="G232" s="2"/>
      <c r="H232" s="2"/>
      <c r="I232" s="2"/>
      <c r="J232" s="2"/>
      <c r="K232" s="2"/>
      <c r="L232" s="2"/>
      <c r="M232" s="2"/>
      <c r="N232" s="2"/>
      <c r="O232" s="2"/>
      <c r="P232" s="2"/>
      <c r="Q232" s="2"/>
      <c r="R232" s="2"/>
      <c r="S232" s="2"/>
      <c r="T232" s="2"/>
      <c r="U232" s="2"/>
    </row>
    <row r="233" spans="1:21" customFormat="1" x14ac:dyDescent="0.5">
      <c r="A233" s="1"/>
      <c r="B233" s="2"/>
      <c r="C233" s="2"/>
      <c r="D233" s="2"/>
      <c r="E233" s="2"/>
      <c r="F233" s="2"/>
      <c r="G233" s="2"/>
      <c r="H233" s="2"/>
      <c r="I233" s="2"/>
      <c r="J233" s="2"/>
      <c r="K233" s="2"/>
      <c r="L233" s="2"/>
      <c r="M233" s="2"/>
      <c r="N233" s="2"/>
      <c r="O233" s="2"/>
      <c r="P233" s="2"/>
      <c r="Q233" s="2"/>
      <c r="R233" s="2"/>
      <c r="S233" s="2"/>
      <c r="T233" s="2"/>
      <c r="U233" s="2"/>
    </row>
    <row r="234" spans="1:21" customFormat="1" x14ac:dyDescent="0.5">
      <c r="A234" s="1"/>
      <c r="B234" s="2"/>
      <c r="C234" s="2"/>
      <c r="D234" s="2"/>
      <c r="E234" s="2"/>
      <c r="F234" s="2"/>
      <c r="G234" s="2"/>
      <c r="H234" s="2"/>
      <c r="I234" s="2"/>
      <c r="J234" s="2"/>
      <c r="K234" s="2"/>
      <c r="L234" s="2"/>
      <c r="M234" s="2"/>
      <c r="N234" s="2"/>
      <c r="O234" s="2"/>
      <c r="P234" s="2"/>
      <c r="Q234" s="2"/>
      <c r="R234" s="2"/>
      <c r="S234" s="2"/>
      <c r="T234" s="2"/>
      <c r="U234" s="2"/>
    </row>
    <row r="235" spans="1:21" customFormat="1" x14ac:dyDescent="0.5">
      <c r="A235" s="1"/>
      <c r="B235" s="2"/>
      <c r="C235" s="2"/>
      <c r="D235" s="2"/>
      <c r="E235" s="2"/>
      <c r="F235" s="2"/>
      <c r="G235" s="2"/>
      <c r="H235" s="2"/>
      <c r="I235" s="2"/>
      <c r="J235" s="2"/>
      <c r="K235" s="2"/>
      <c r="L235" s="2"/>
      <c r="M235" s="2"/>
      <c r="N235" s="2"/>
      <c r="O235" s="2"/>
      <c r="P235" s="2"/>
      <c r="Q235" s="2"/>
      <c r="R235" s="2"/>
      <c r="S235" s="2"/>
      <c r="T235" s="2"/>
      <c r="U235" s="2"/>
    </row>
    <row r="236" spans="1:21" customFormat="1" x14ac:dyDescent="0.5">
      <c r="A236" s="1"/>
      <c r="B236" s="2"/>
      <c r="C236" s="2"/>
      <c r="D236" s="2"/>
      <c r="E236" s="2"/>
      <c r="F236" s="2"/>
      <c r="G236" s="2"/>
      <c r="H236" s="2"/>
      <c r="I236" s="2"/>
      <c r="J236" s="2"/>
      <c r="K236" s="2"/>
      <c r="L236" s="2"/>
      <c r="M236" s="2"/>
      <c r="N236" s="2"/>
      <c r="O236" s="2"/>
      <c r="P236" s="2"/>
      <c r="Q236" s="2"/>
      <c r="R236" s="2"/>
      <c r="S236" s="2"/>
      <c r="T236" s="2"/>
      <c r="U236" s="2"/>
    </row>
    <row r="237" spans="1:21" customFormat="1" x14ac:dyDescent="0.5">
      <c r="A237" s="1"/>
      <c r="B237" s="2"/>
      <c r="C237" s="2"/>
      <c r="D237" s="2"/>
      <c r="E237" s="2"/>
      <c r="F237" s="2"/>
      <c r="G237" s="2"/>
      <c r="H237" s="2"/>
      <c r="I237" s="2"/>
      <c r="J237" s="2"/>
      <c r="K237" s="2"/>
      <c r="L237" s="2"/>
      <c r="M237" s="2"/>
      <c r="N237" s="2"/>
      <c r="O237" s="2"/>
      <c r="P237" s="2"/>
      <c r="Q237" s="2"/>
      <c r="R237" s="2"/>
      <c r="S237" s="2"/>
      <c r="T237" s="2"/>
      <c r="U237" s="2"/>
    </row>
    <row r="238" spans="1:21" customFormat="1" x14ac:dyDescent="0.5">
      <c r="A238" s="1"/>
      <c r="B238" s="2"/>
      <c r="C238" s="2"/>
      <c r="D238" s="2"/>
      <c r="E238" s="2"/>
      <c r="F238" s="2"/>
      <c r="G238" s="2"/>
      <c r="H238" s="2"/>
      <c r="I238" s="2"/>
      <c r="J238" s="2"/>
      <c r="K238" s="2"/>
      <c r="L238" s="2"/>
      <c r="M238" s="2"/>
      <c r="N238" s="2"/>
      <c r="O238" s="2"/>
      <c r="P238" s="2"/>
      <c r="Q238" s="2"/>
      <c r="R238" s="2"/>
      <c r="S238" s="2"/>
      <c r="T238" s="2"/>
      <c r="U238" s="2"/>
    </row>
    <row r="239" spans="1:21" customFormat="1" x14ac:dyDescent="0.5">
      <c r="A239" s="1"/>
      <c r="B239" s="2"/>
      <c r="C239" s="2"/>
      <c r="D239" s="2"/>
      <c r="E239" s="2"/>
      <c r="F239" s="2"/>
      <c r="G239" s="2"/>
      <c r="H239" s="2"/>
      <c r="I239" s="2"/>
      <c r="J239" s="2"/>
      <c r="K239" s="2"/>
      <c r="L239" s="2"/>
      <c r="M239" s="2"/>
      <c r="N239" s="2"/>
      <c r="O239" s="2"/>
      <c r="P239" s="2"/>
      <c r="Q239" s="2"/>
      <c r="R239" s="2"/>
      <c r="S239" s="2"/>
      <c r="T239" s="2"/>
      <c r="U239" s="2"/>
    </row>
    <row r="240" spans="1:21" customFormat="1" x14ac:dyDescent="0.5">
      <c r="A240" s="1"/>
      <c r="B240" s="2"/>
      <c r="C240" s="2"/>
      <c r="D240" s="2"/>
      <c r="E240" s="2"/>
      <c r="F240" s="2"/>
      <c r="G240" s="2"/>
      <c r="H240" s="2"/>
      <c r="I240" s="2"/>
      <c r="J240" s="2"/>
      <c r="K240" s="2"/>
      <c r="L240" s="2"/>
      <c r="M240" s="2"/>
      <c r="N240" s="2"/>
      <c r="O240" s="2"/>
      <c r="P240" s="2"/>
      <c r="Q240" s="2"/>
      <c r="R240" s="2"/>
      <c r="S240" s="2"/>
      <c r="T240" s="2"/>
      <c r="U240" s="2"/>
    </row>
    <row r="241" spans="1:21" customFormat="1" x14ac:dyDescent="0.5">
      <c r="A241" s="1"/>
      <c r="B241" s="2"/>
      <c r="C241" s="2"/>
      <c r="D241" s="2"/>
      <c r="E241" s="2"/>
      <c r="F241" s="2"/>
      <c r="G241" s="2"/>
      <c r="H241" s="2"/>
      <c r="I241" s="2"/>
      <c r="J241" s="2"/>
      <c r="K241" s="2"/>
      <c r="L241" s="2"/>
      <c r="M241" s="2"/>
      <c r="N241" s="2"/>
      <c r="O241" s="2"/>
      <c r="P241" s="2"/>
      <c r="Q241" s="2"/>
      <c r="R241" s="2"/>
      <c r="S241" s="2"/>
      <c r="T241" s="2"/>
      <c r="U241" s="2"/>
    </row>
    <row r="242" spans="1:21" customFormat="1" x14ac:dyDescent="0.5">
      <c r="A242" s="1"/>
      <c r="B242" s="2"/>
      <c r="C242" s="2"/>
      <c r="D242" s="2"/>
      <c r="E242" s="2"/>
      <c r="F242" s="2"/>
      <c r="G242" s="2"/>
      <c r="H242" s="2"/>
      <c r="I242" s="2"/>
      <c r="J242" s="2"/>
      <c r="K242" s="2"/>
      <c r="L242" s="2"/>
      <c r="M242" s="2"/>
      <c r="N242" s="2"/>
      <c r="O242" s="2"/>
      <c r="P242" s="2"/>
      <c r="Q242" s="2"/>
      <c r="R242" s="2"/>
      <c r="S242" s="2"/>
      <c r="T242" s="2"/>
      <c r="U242" s="2"/>
    </row>
    <row r="243" spans="1:21" customFormat="1" x14ac:dyDescent="0.5">
      <c r="A243" s="1"/>
      <c r="B243" s="2"/>
      <c r="C243" s="2"/>
      <c r="D243" s="2"/>
      <c r="E243" s="2"/>
      <c r="F243" s="2"/>
      <c r="G243" s="2"/>
      <c r="H243" s="2"/>
      <c r="I243" s="2"/>
      <c r="J243" s="2"/>
      <c r="K243" s="2"/>
      <c r="L243" s="2"/>
      <c r="M243" s="2"/>
      <c r="N243" s="2"/>
      <c r="O243" s="2"/>
      <c r="P243" s="2"/>
      <c r="Q243" s="2"/>
      <c r="R243" s="2"/>
      <c r="S243" s="2"/>
      <c r="T243" s="2"/>
      <c r="U243" s="2"/>
    </row>
    <row r="244" spans="1:21" customFormat="1" x14ac:dyDescent="0.5">
      <c r="A244" s="1"/>
      <c r="B244" s="2"/>
      <c r="C244" s="2"/>
      <c r="D244" s="2"/>
      <c r="E244" s="2"/>
      <c r="F244" s="2"/>
      <c r="G244" s="2"/>
      <c r="H244" s="2"/>
      <c r="I244" s="2"/>
      <c r="J244" s="2"/>
      <c r="K244" s="2"/>
      <c r="L244" s="2"/>
      <c r="M244" s="2"/>
      <c r="N244" s="2"/>
      <c r="O244" s="2"/>
      <c r="P244" s="2"/>
      <c r="Q244" s="2"/>
      <c r="R244" s="2"/>
      <c r="S244" s="2"/>
      <c r="T244" s="2"/>
      <c r="U244" s="2"/>
    </row>
    <row r="245" spans="1:21" customFormat="1" x14ac:dyDescent="0.5">
      <c r="A245" s="1"/>
      <c r="B245" s="2"/>
      <c r="C245" s="2"/>
      <c r="D245" s="2"/>
      <c r="E245" s="2"/>
      <c r="F245" s="2"/>
      <c r="G245" s="2"/>
      <c r="H245" s="2"/>
      <c r="I245" s="2"/>
      <c r="J245" s="2"/>
      <c r="K245" s="2"/>
      <c r="L245" s="2"/>
      <c r="M245" s="2"/>
      <c r="N245" s="2"/>
      <c r="O245" s="2"/>
      <c r="P245" s="2"/>
      <c r="Q245" s="2"/>
      <c r="R245" s="2"/>
      <c r="S245" s="2"/>
      <c r="T245" s="2"/>
      <c r="U245" s="2"/>
    </row>
    <row r="246" spans="1:21" customFormat="1" x14ac:dyDescent="0.5">
      <c r="A246" s="1"/>
      <c r="B246" s="2"/>
      <c r="C246" s="2"/>
      <c r="D246" s="2"/>
      <c r="E246" s="2"/>
      <c r="F246" s="2"/>
      <c r="G246" s="2"/>
      <c r="H246" s="2"/>
      <c r="I246" s="2"/>
      <c r="J246" s="2"/>
      <c r="K246" s="2"/>
      <c r="L246" s="2"/>
      <c r="M246" s="2"/>
      <c r="N246" s="2"/>
      <c r="O246" s="2"/>
      <c r="P246" s="2"/>
      <c r="Q246" s="2"/>
      <c r="R246" s="2"/>
      <c r="S246" s="2"/>
      <c r="T246" s="2"/>
      <c r="U246" s="2"/>
    </row>
    <row r="247" spans="1:21" customFormat="1" x14ac:dyDescent="0.5">
      <c r="A247" s="1"/>
      <c r="B247" s="2"/>
      <c r="C247" s="2"/>
      <c r="D247" s="2"/>
      <c r="E247" s="2"/>
      <c r="F247" s="2"/>
      <c r="G247" s="2"/>
      <c r="H247" s="2"/>
      <c r="I247" s="2"/>
      <c r="J247" s="2"/>
      <c r="K247" s="2"/>
      <c r="L247" s="2"/>
      <c r="M247" s="2"/>
      <c r="N247" s="2"/>
      <c r="O247" s="2"/>
      <c r="P247" s="2"/>
      <c r="Q247" s="2"/>
      <c r="R247" s="2"/>
      <c r="S247" s="2"/>
      <c r="T247" s="2"/>
      <c r="U247" s="2"/>
    </row>
    <row r="248" spans="1:21" customFormat="1" x14ac:dyDescent="0.5">
      <c r="A248" s="1"/>
      <c r="B248" s="2"/>
      <c r="C248" s="2"/>
      <c r="D248" s="2"/>
      <c r="E248" s="2"/>
      <c r="F248" s="2"/>
      <c r="G248" s="2"/>
      <c r="H248" s="2"/>
      <c r="I248" s="2"/>
      <c r="J248" s="2"/>
      <c r="K248" s="2"/>
      <c r="L248" s="2"/>
      <c r="M248" s="2"/>
      <c r="N248" s="2"/>
      <c r="O248" s="2"/>
      <c r="P248" s="2"/>
      <c r="Q248" s="2"/>
      <c r="R248" s="2"/>
      <c r="S248" s="2"/>
      <c r="T248" s="2"/>
      <c r="U248" s="2"/>
    </row>
    <row r="249" spans="1:21" customFormat="1" x14ac:dyDescent="0.5">
      <c r="A249" s="1"/>
      <c r="B249" s="2"/>
      <c r="C249" s="2"/>
      <c r="D249" s="2"/>
      <c r="E249" s="2"/>
      <c r="F249" s="2"/>
      <c r="G249" s="2"/>
      <c r="H249" s="2"/>
      <c r="I249" s="2"/>
      <c r="J249" s="2"/>
      <c r="K249" s="2"/>
      <c r="L249" s="2"/>
      <c r="M249" s="2"/>
      <c r="N249" s="2"/>
      <c r="O249" s="2"/>
      <c r="P249" s="2"/>
      <c r="Q249" s="2"/>
      <c r="R249" s="2"/>
      <c r="S249" s="2"/>
      <c r="T249" s="2"/>
      <c r="U249" s="2"/>
    </row>
    <row r="250" spans="1:21" customFormat="1" x14ac:dyDescent="0.5">
      <c r="A250" s="1"/>
      <c r="B250" s="2"/>
      <c r="C250" s="2"/>
      <c r="D250" s="2"/>
      <c r="E250" s="2"/>
      <c r="F250" s="2"/>
      <c r="G250" s="2"/>
      <c r="H250" s="2"/>
      <c r="I250" s="2"/>
      <c r="J250" s="2"/>
      <c r="K250" s="2"/>
      <c r="L250" s="2"/>
      <c r="M250" s="2"/>
      <c r="N250" s="2"/>
      <c r="O250" s="2"/>
      <c r="P250" s="2"/>
      <c r="Q250" s="2"/>
      <c r="R250" s="2"/>
      <c r="S250" s="2"/>
      <c r="T250" s="2"/>
      <c r="U250" s="2"/>
    </row>
    <row r="251" spans="1:21" customFormat="1" x14ac:dyDescent="0.5">
      <c r="A251" s="1"/>
      <c r="B251" s="2"/>
      <c r="C251" s="2"/>
      <c r="D251" s="2"/>
      <c r="E251" s="2"/>
      <c r="F251" s="2"/>
      <c r="G251" s="2"/>
      <c r="H251" s="2"/>
      <c r="I251" s="2"/>
      <c r="J251" s="2"/>
      <c r="K251" s="2"/>
      <c r="L251" s="2"/>
      <c r="M251" s="2"/>
      <c r="N251" s="2"/>
      <c r="O251" s="2"/>
      <c r="P251" s="2"/>
      <c r="Q251" s="2"/>
      <c r="R251" s="2"/>
      <c r="S251" s="2"/>
      <c r="T251" s="2"/>
      <c r="U251" s="2"/>
    </row>
    <row r="252" spans="1:21" customFormat="1" x14ac:dyDescent="0.5">
      <c r="A252" s="1"/>
      <c r="B252" s="2"/>
      <c r="C252" s="2"/>
      <c r="D252" s="2"/>
      <c r="E252" s="2"/>
      <c r="F252" s="2"/>
      <c r="G252" s="2"/>
      <c r="H252" s="2"/>
      <c r="I252" s="2"/>
      <c r="J252" s="2"/>
      <c r="K252" s="2"/>
      <c r="L252" s="2"/>
      <c r="M252" s="2"/>
      <c r="N252" s="2"/>
      <c r="O252" s="2"/>
      <c r="P252" s="2"/>
      <c r="Q252" s="2"/>
      <c r="R252" s="2"/>
      <c r="S252" s="2"/>
      <c r="T252" s="2"/>
      <c r="U252" s="2"/>
    </row>
    <row r="253" spans="1:21" customFormat="1" x14ac:dyDescent="0.5">
      <c r="A253" s="1"/>
      <c r="B253" s="2"/>
      <c r="C253" s="2"/>
      <c r="D253" s="2"/>
      <c r="E253" s="2"/>
      <c r="F253" s="2"/>
      <c r="G253" s="2"/>
      <c r="H253" s="2"/>
      <c r="I253" s="2"/>
      <c r="J253" s="2"/>
      <c r="K253" s="2"/>
      <c r="L253" s="2"/>
      <c r="M253" s="2"/>
      <c r="N253" s="2"/>
      <c r="O253" s="2"/>
      <c r="P253" s="2"/>
      <c r="Q253" s="2"/>
      <c r="R253" s="2"/>
      <c r="S253" s="2"/>
      <c r="T253" s="2"/>
      <c r="U253" s="2"/>
    </row>
    <row r="254" spans="1:21" customFormat="1" x14ac:dyDescent="0.5">
      <c r="A254" s="1"/>
      <c r="B254" s="2"/>
      <c r="C254" s="2"/>
      <c r="D254" s="2"/>
      <c r="E254" s="2"/>
      <c r="F254" s="2"/>
      <c r="G254" s="2"/>
      <c r="H254" s="2"/>
      <c r="I254" s="2"/>
      <c r="J254" s="2"/>
      <c r="K254" s="2"/>
      <c r="L254" s="2"/>
      <c r="M254" s="2"/>
      <c r="N254" s="2"/>
      <c r="O254" s="2"/>
      <c r="P254" s="2"/>
      <c r="Q254" s="2"/>
      <c r="R254" s="2"/>
      <c r="S254" s="2"/>
      <c r="T254" s="2"/>
      <c r="U254" s="2"/>
    </row>
    <row r="255" spans="1:21" customFormat="1" x14ac:dyDescent="0.5">
      <c r="A255" s="1"/>
      <c r="B255" s="2"/>
      <c r="C255" s="2"/>
      <c r="D255" s="2"/>
      <c r="E255" s="2"/>
      <c r="F255" s="2"/>
      <c r="G255" s="2"/>
      <c r="H255" s="2"/>
      <c r="I255" s="2"/>
      <c r="J255" s="2"/>
      <c r="K255" s="2"/>
      <c r="L255" s="2"/>
      <c r="M255" s="2"/>
      <c r="N255" s="2"/>
      <c r="O255" s="2"/>
      <c r="P255" s="2"/>
      <c r="Q255" s="2"/>
      <c r="R255" s="2"/>
      <c r="S255" s="2"/>
      <c r="T255" s="2"/>
      <c r="U255" s="2"/>
    </row>
    <row r="256" spans="1:21" customFormat="1" x14ac:dyDescent="0.5">
      <c r="A256" s="1"/>
      <c r="B256" s="2"/>
      <c r="C256" s="2"/>
      <c r="D256" s="2"/>
      <c r="E256" s="2"/>
      <c r="F256" s="2"/>
      <c r="G256" s="2"/>
      <c r="H256" s="2"/>
      <c r="I256" s="2"/>
      <c r="J256" s="2"/>
      <c r="K256" s="2"/>
      <c r="L256" s="2"/>
      <c r="M256" s="2"/>
      <c r="N256" s="2"/>
      <c r="O256" s="2"/>
      <c r="P256" s="2"/>
      <c r="Q256" s="2"/>
      <c r="R256" s="2"/>
      <c r="S256" s="2"/>
      <c r="T256" s="2"/>
      <c r="U256" s="2"/>
    </row>
    <row r="257" spans="1:21" customFormat="1" x14ac:dyDescent="0.5">
      <c r="A257" s="1"/>
      <c r="B257" s="2"/>
      <c r="C257" s="2"/>
      <c r="D257" s="2"/>
      <c r="E257" s="2"/>
      <c r="F257" s="2"/>
      <c r="G257" s="2"/>
      <c r="H257" s="2"/>
      <c r="I257" s="2"/>
      <c r="J257" s="2"/>
      <c r="K257" s="2"/>
      <c r="L257" s="2"/>
      <c r="M257" s="2"/>
      <c r="N257" s="2"/>
      <c r="O257" s="2"/>
      <c r="P257" s="2"/>
      <c r="Q257" s="2"/>
      <c r="R257" s="2"/>
      <c r="S257" s="2"/>
      <c r="T257" s="2"/>
      <c r="U257" s="2"/>
    </row>
    <row r="258" spans="1:21" customFormat="1" x14ac:dyDescent="0.5">
      <c r="A258" s="1"/>
      <c r="B258" s="2"/>
      <c r="C258" s="2"/>
      <c r="D258" s="2"/>
      <c r="E258" s="2"/>
      <c r="F258" s="2"/>
      <c r="G258" s="2"/>
      <c r="H258" s="2"/>
      <c r="I258" s="2"/>
      <c r="J258" s="2"/>
      <c r="K258" s="2"/>
      <c r="L258" s="2"/>
      <c r="M258" s="2"/>
      <c r="N258" s="2"/>
      <c r="O258" s="2"/>
      <c r="P258" s="2"/>
      <c r="Q258" s="2"/>
      <c r="R258" s="2"/>
      <c r="S258" s="2"/>
      <c r="T258" s="2"/>
      <c r="U258" s="2"/>
    </row>
    <row r="259" spans="1:21" customFormat="1" x14ac:dyDescent="0.5">
      <c r="A259" s="1"/>
      <c r="B259" s="2"/>
      <c r="C259" s="2"/>
      <c r="D259" s="2"/>
      <c r="E259" s="2"/>
      <c r="F259" s="2"/>
      <c r="G259" s="2"/>
      <c r="H259" s="2"/>
      <c r="I259" s="2"/>
      <c r="J259" s="2"/>
      <c r="K259" s="2"/>
      <c r="L259" s="2"/>
      <c r="M259" s="2"/>
      <c r="N259" s="2"/>
      <c r="O259" s="2"/>
      <c r="P259" s="2"/>
      <c r="Q259" s="2"/>
      <c r="R259" s="2"/>
      <c r="S259" s="2"/>
      <c r="T259" s="2"/>
      <c r="U259" s="2"/>
    </row>
    <row r="260" spans="1:21" customFormat="1" x14ac:dyDescent="0.5">
      <c r="A260" s="1"/>
      <c r="B260" s="2"/>
      <c r="C260" s="2"/>
      <c r="D260" s="2"/>
      <c r="E260" s="2"/>
      <c r="F260" s="2"/>
      <c r="G260" s="2"/>
      <c r="H260" s="2"/>
      <c r="I260" s="2"/>
      <c r="J260" s="2"/>
      <c r="K260" s="2"/>
      <c r="L260" s="2"/>
      <c r="M260" s="2"/>
      <c r="N260" s="2"/>
      <c r="O260" s="2"/>
      <c r="P260" s="2"/>
      <c r="Q260" s="2"/>
      <c r="R260" s="2"/>
      <c r="S260" s="2"/>
      <c r="T260" s="2"/>
      <c r="U260" s="2"/>
    </row>
    <row r="261" spans="1:21" customFormat="1" x14ac:dyDescent="0.5">
      <c r="A261" s="1"/>
      <c r="B261" s="2"/>
      <c r="C261" s="2"/>
      <c r="D261" s="2"/>
      <c r="E261" s="2"/>
      <c r="F261" s="2"/>
      <c r="G261" s="2"/>
      <c r="H261" s="2"/>
      <c r="I261" s="2"/>
      <c r="J261" s="2"/>
      <c r="K261" s="2"/>
      <c r="L261" s="2"/>
      <c r="M261" s="2"/>
      <c r="N261" s="2"/>
      <c r="O261" s="2"/>
      <c r="P261" s="2"/>
      <c r="Q261" s="2"/>
      <c r="R261" s="2"/>
      <c r="S261" s="2"/>
      <c r="T261" s="2"/>
      <c r="U261" s="2"/>
    </row>
    <row r="262" spans="1:21" customFormat="1" x14ac:dyDescent="0.5">
      <c r="A262" s="1"/>
      <c r="B262" s="2"/>
      <c r="C262" s="2"/>
      <c r="D262" s="2"/>
      <c r="E262" s="2"/>
      <c r="F262" s="2"/>
      <c r="G262" s="2"/>
      <c r="H262" s="2"/>
      <c r="I262" s="2"/>
      <c r="J262" s="2"/>
      <c r="K262" s="2"/>
      <c r="L262" s="2"/>
      <c r="M262" s="2"/>
      <c r="N262" s="2"/>
      <c r="O262" s="2"/>
      <c r="P262" s="2"/>
      <c r="Q262" s="2"/>
      <c r="R262" s="2"/>
      <c r="S262" s="2"/>
      <c r="T262" s="2"/>
      <c r="U262" s="2"/>
    </row>
    <row r="263" spans="1:21" customFormat="1" x14ac:dyDescent="0.5">
      <c r="A263" s="1"/>
      <c r="B263" s="2"/>
      <c r="C263" s="2"/>
      <c r="D263" s="2"/>
      <c r="E263" s="2"/>
      <c r="F263" s="2"/>
      <c r="G263" s="2"/>
      <c r="H263" s="2"/>
      <c r="I263" s="2"/>
      <c r="J263" s="2"/>
      <c r="K263" s="2"/>
      <c r="L263" s="2"/>
      <c r="M263" s="2"/>
      <c r="N263" s="2"/>
      <c r="O263" s="2"/>
      <c r="P263" s="2"/>
      <c r="Q263" s="2"/>
      <c r="R263" s="2"/>
      <c r="S263" s="2"/>
      <c r="T263" s="2"/>
      <c r="U263" s="2"/>
    </row>
    <row r="264" spans="1:21" customFormat="1" x14ac:dyDescent="0.5">
      <c r="A264" s="1"/>
      <c r="B264" s="2"/>
      <c r="C264" s="2"/>
      <c r="D264" s="2"/>
      <c r="E264" s="2"/>
      <c r="F264" s="2"/>
      <c r="G264" s="2"/>
      <c r="H264" s="2"/>
      <c r="I264" s="2"/>
      <c r="J264" s="2"/>
      <c r="K264" s="2"/>
      <c r="L264" s="2"/>
      <c r="M264" s="2"/>
      <c r="N264" s="2"/>
      <c r="O264" s="2"/>
      <c r="P264" s="2"/>
      <c r="Q264" s="2"/>
      <c r="R264" s="2"/>
      <c r="S264" s="2"/>
      <c r="T264" s="2"/>
      <c r="U264" s="2"/>
    </row>
    <row r="265" spans="1:21" customFormat="1" x14ac:dyDescent="0.5">
      <c r="A265" s="1"/>
      <c r="B265" s="2"/>
      <c r="C265" s="2"/>
      <c r="D265" s="2"/>
      <c r="E265" s="2"/>
      <c r="F265" s="2"/>
      <c r="G265" s="2"/>
      <c r="H265" s="2"/>
      <c r="I265" s="2"/>
      <c r="J265" s="2"/>
      <c r="K265" s="2"/>
      <c r="L265" s="2"/>
      <c r="M265" s="2"/>
      <c r="N265" s="2"/>
      <c r="O265" s="2"/>
      <c r="P265" s="2"/>
      <c r="Q265" s="2"/>
      <c r="R265" s="2"/>
      <c r="S265" s="2"/>
      <c r="T265" s="2"/>
      <c r="U265" s="2"/>
    </row>
    <row r="266" spans="1:21" customFormat="1" x14ac:dyDescent="0.5">
      <c r="A266" s="1"/>
      <c r="B266" s="2"/>
      <c r="C266" s="2"/>
      <c r="D266" s="2"/>
      <c r="E266" s="2"/>
      <c r="F266" s="2"/>
      <c r="G266" s="2"/>
      <c r="H266" s="2"/>
      <c r="I266" s="2"/>
      <c r="J266" s="2"/>
      <c r="K266" s="2"/>
      <c r="L266" s="2"/>
      <c r="M266" s="2"/>
      <c r="N266" s="2"/>
      <c r="O266" s="2"/>
      <c r="P266" s="2"/>
      <c r="Q266" s="2"/>
      <c r="R266" s="2"/>
      <c r="S266" s="2"/>
      <c r="T266" s="2"/>
      <c r="U266" s="2"/>
    </row>
    <row r="267" spans="1:21" customFormat="1" x14ac:dyDescent="0.5">
      <c r="A267" s="1"/>
      <c r="B267" s="2"/>
      <c r="C267" s="2"/>
      <c r="D267" s="2"/>
      <c r="E267" s="2"/>
      <c r="F267" s="2"/>
      <c r="G267" s="2"/>
      <c r="H267" s="2"/>
      <c r="I267" s="2"/>
      <c r="J267" s="2"/>
      <c r="K267" s="2"/>
      <c r="L267" s="2"/>
      <c r="M267" s="2"/>
      <c r="N267" s="2"/>
      <c r="O267" s="2"/>
      <c r="P267" s="2"/>
      <c r="Q267" s="2"/>
      <c r="R267" s="2"/>
      <c r="S267" s="2"/>
      <c r="T267" s="2"/>
      <c r="U267" s="2"/>
    </row>
    <row r="268" spans="1:21" customFormat="1" x14ac:dyDescent="0.5">
      <c r="A268" s="1"/>
      <c r="B268" s="2"/>
      <c r="C268" s="2"/>
      <c r="D268" s="2"/>
      <c r="E268" s="2"/>
      <c r="F268" s="2"/>
      <c r="G268" s="2"/>
      <c r="H268" s="2"/>
      <c r="I268" s="2"/>
      <c r="J268" s="2"/>
      <c r="K268" s="2"/>
      <c r="L268" s="2"/>
      <c r="M268" s="2"/>
      <c r="N268" s="2"/>
      <c r="O268" s="2"/>
      <c r="P268" s="2"/>
      <c r="Q268" s="2"/>
      <c r="R268" s="2"/>
      <c r="S268" s="2"/>
      <c r="T268" s="2"/>
      <c r="U268" s="2"/>
    </row>
    <row r="269" spans="1:21" customFormat="1" x14ac:dyDescent="0.5">
      <c r="A269" s="1"/>
      <c r="B269" s="2"/>
      <c r="C269" s="2"/>
      <c r="D269" s="2"/>
      <c r="E269" s="2"/>
      <c r="F269" s="2"/>
      <c r="G269" s="2"/>
      <c r="H269" s="2"/>
      <c r="I269" s="2"/>
      <c r="J269" s="2"/>
      <c r="K269" s="2"/>
      <c r="L269" s="2"/>
      <c r="M269" s="2"/>
      <c r="N269" s="2"/>
      <c r="O269" s="2"/>
      <c r="P269" s="2"/>
      <c r="Q269" s="2"/>
      <c r="R269" s="2"/>
      <c r="S269" s="2"/>
      <c r="T269" s="2"/>
      <c r="U269" s="2"/>
    </row>
    <row r="270" spans="1:21" customFormat="1" x14ac:dyDescent="0.5">
      <c r="A270" s="1"/>
      <c r="B270" s="2"/>
      <c r="C270" s="2"/>
      <c r="D270" s="2"/>
      <c r="E270" s="2"/>
      <c r="F270" s="2"/>
      <c r="G270" s="2"/>
      <c r="H270" s="2"/>
      <c r="I270" s="2"/>
      <c r="J270" s="2"/>
      <c r="K270" s="2"/>
      <c r="L270" s="2"/>
      <c r="M270" s="2"/>
      <c r="N270" s="2"/>
      <c r="O270" s="2"/>
      <c r="P270" s="2"/>
      <c r="Q270" s="2"/>
      <c r="R270" s="2"/>
      <c r="S270" s="2"/>
      <c r="T270" s="2"/>
      <c r="U270" s="2"/>
    </row>
    <row r="271" spans="1:21" customFormat="1" x14ac:dyDescent="0.5">
      <c r="A271" s="1"/>
      <c r="B271" s="2"/>
      <c r="C271" s="2"/>
      <c r="D271" s="2"/>
      <c r="E271" s="2"/>
      <c r="F271" s="2"/>
      <c r="G271" s="2"/>
      <c r="H271" s="2"/>
      <c r="I271" s="2"/>
      <c r="J271" s="2"/>
      <c r="K271" s="2"/>
      <c r="L271" s="2"/>
      <c r="M271" s="2"/>
      <c r="N271" s="2"/>
      <c r="O271" s="2"/>
      <c r="P271" s="2"/>
      <c r="Q271" s="2"/>
      <c r="R271" s="2"/>
      <c r="S271" s="2"/>
      <c r="T271" s="2"/>
      <c r="U271" s="2"/>
    </row>
    <row r="272" spans="1:21" customFormat="1" x14ac:dyDescent="0.5">
      <c r="A272" s="1"/>
      <c r="B272" s="2"/>
      <c r="C272" s="2"/>
      <c r="D272" s="2"/>
      <c r="E272" s="2"/>
      <c r="F272" s="2"/>
      <c r="G272" s="2"/>
      <c r="H272" s="2"/>
      <c r="I272" s="2"/>
      <c r="J272" s="2"/>
      <c r="K272" s="2"/>
      <c r="L272" s="2"/>
      <c r="M272" s="2"/>
      <c r="N272" s="2"/>
      <c r="O272" s="2"/>
      <c r="P272" s="2"/>
      <c r="Q272" s="2"/>
      <c r="R272" s="2"/>
      <c r="S272" s="2"/>
      <c r="T272" s="2"/>
      <c r="U272" s="2"/>
    </row>
    <row r="273" spans="1:21" customFormat="1" x14ac:dyDescent="0.5">
      <c r="A273" s="1"/>
      <c r="B273" s="2"/>
      <c r="C273" s="2"/>
      <c r="D273" s="2"/>
      <c r="E273" s="2"/>
      <c r="F273" s="2"/>
      <c r="G273" s="2"/>
      <c r="H273" s="2"/>
      <c r="I273" s="2"/>
      <c r="J273" s="2"/>
      <c r="K273" s="2"/>
      <c r="L273" s="2"/>
      <c r="M273" s="2"/>
      <c r="N273" s="2"/>
      <c r="O273" s="2"/>
      <c r="P273" s="2"/>
      <c r="Q273" s="2"/>
      <c r="R273" s="2"/>
      <c r="S273" s="2"/>
      <c r="T273" s="2"/>
      <c r="U273" s="2"/>
    </row>
    <row r="274" spans="1:21" customFormat="1" x14ac:dyDescent="0.5">
      <c r="A274" s="1"/>
      <c r="B274" s="2"/>
      <c r="C274" s="2"/>
      <c r="D274" s="2"/>
      <c r="E274" s="2"/>
      <c r="F274" s="2"/>
      <c r="G274" s="2"/>
      <c r="H274" s="2"/>
      <c r="I274" s="2"/>
      <c r="J274" s="2"/>
      <c r="K274" s="2"/>
      <c r="L274" s="2"/>
      <c r="M274" s="2"/>
      <c r="N274" s="2"/>
      <c r="O274" s="2"/>
      <c r="P274" s="2"/>
      <c r="Q274" s="2"/>
      <c r="R274" s="2"/>
      <c r="S274" s="2"/>
      <c r="T274" s="2"/>
      <c r="U274" s="2"/>
    </row>
    <row r="275" spans="1:21" customFormat="1" x14ac:dyDescent="0.5">
      <c r="A275" s="1"/>
      <c r="B275" s="2"/>
      <c r="C275" s="2"/>
      <c r="D275" s="2"/>
      <c r="E275" s="2"/>
      <c r="F275" s="2"/>
      <c r="G275" s="2"/>
      <c r="H275" s="2"/>
      <c r="I275" s="2"/>
      <c r="J275" s="2"/>
      <c r="K275" s="2"/>
      <c r="L275" s="2"/>
      <c r="M275" s="2"/>
      <c r="N275" s="2"/>
      <c r="O275" s="2"/>
      <c r="P275" s="2"/>
      <c r="Q275" s="2"/>
      <c r="R275" s="2"/>
      <c r="S275" s="2"/>
      <c r="T275" s="2"/>
      <c r="U275" s="2"/>
    </row>
    <row r="276" spans="1:21" customFormat="1" x14ac:dyDescent="0.5">
      <c r="A276" s="1"/>
      <c r="B276" s="2"/>
      <c r="C276" s="2"/>
      <c r="D276" s="2"/>
      <c r="E276" s="2"/>
      <c r="F276" s="2"/>
      <c r="G276" s="2"/>
      <c r="H276" s="2"/>
      <c r="I276" s="2"/>
      <c r="J276" s="2"/>
      <c r="K276" s="2"/>
      <c r="L276" s="2"/>
      <c r="M276" s="2"/>
      <c r="N276" s="2"/>
      <c r="O276" s="2"/>
      <c r="P276" s="2"/>
      <c r="Q276" s="2"/>
      <c r="R276" s="2"/>
      <c r="S276" s="2"/>
      <c r="T276" s="2"/>
      <c r="U276" s="2"/>
    </row>
    <row r="277" spans="1:21" customFormat="1" x14ac:dyDescent="0.5">
      <c r="A277" s="1"/>
      <c r="B277" s="2"/>
      <c r="C277" s="2"/>
      <c r="D277" s="2"/>
      <c r="E277" s="2"/>
      <c r="F277" s="2"/>
      <c r="G277" s="2"/>
      <c r="H277" s="2"/>
      <c r="I277" s="2"/>
      <c r="J277" s="2"/>
      <c r="K277" s="2"/>
      <c r="L277" s="2"/>
      <c r="M277" s="2"/>
      <c r="N277" s="2"/>
      <c r="O277" s="2"/>
      <c r="P277" s="2"/>
      <c r="Q277" s="2"/>
      <c r="R277" s="2"/>
      <c r="S277" s="2"/>
      <c r="T277" s="2"/>
      <c r="U277" s="2"/>
    </row>
    <row r="278" spans="1:21" customFormat="1" x14ac:dyDescent="0.5">
      <c r="A278" s="1"/>
      <c r="B278" s="2"/>
      <c r="C278" s="2"/>
      <c r="D278" s="2"/>
      <c r="E278" s="2"/>
      <c r="F278" s="2"/>
      <c r="G278" s="2"/>
      <c r="H278" s="2"/>
      <c r="I278" s="2"/>
      <c r="J278" s="2"/>
      <c r="K278" s="2"/>
      <c r="L278" s="2"/>
      <c r="M278" s="2"/>
      <c r="N278" s="2"/>
      <c r="O278" s="2"/>
      <c r="P278" s="2"/>
      <c r="Q278" s="2"/>
      <c r="R278" s="2"/>
      <c r="S278" s="2"/>
      <c r="T278" s="2"/>
      <c r="U278" s="2"/>
    </row>
    <row r="279" spans="1:21" customFormat="1" x14ac:dyDescent="0.5">
      <c r="A279" s="1"/>
      <c r="B279" s="2"/>
      <c r="C279" s="2"/>
      <c r="D279" s="2"/>
      <c r="E279" s="2"/>
      <c r="F279" s="2"/>
      <c r="G279" s="2"/>
      <c r="H279" s="2"/>
      <c r="I279" s="2"/>
      <c r="J279" s="2"/>
      <c r="K279" s="2"/>
      <c r="L279" s="2"/>
      <c r="M279" s="2"/>
      <c r="N279" s="2"/>
      <c r="O279" s="2"/>
      <c r="P279" s="2"/>
      <c r="Q279" s="2"/>
      <c r="R279" s="2"/>
      <c r="S279" s="2"/>
      <c r="T279" s="2"/>
      <c r="U279" s="2"/>
    </row>
    <row r="280" spans="1:21" customFormat="1" x14ac:dyDescent="0.5">
      <c r="A280" s="1"/>
      <c r="B280" s="2"/>
      <c r="C280" s="2"/>
      <c r="D280" s="2"/>
      <c r="E280" s="2"/>
      <c r="F280" s="2"/>
      <c r="G280" s="2"/>
      <c r="H280" s="2"/>
      <c r="I280" s="2"/>
      <c r="J280" s="2"/>
      <c r="K280" s="2"/>
      <c r="L280" s="2"/>
      <c r="M280" s="2"/>
      <c r="N280" s="2"/>
      <c r="O280" s="2"/>
      <c r="P280" s="2"/>
      <c r="Q280" s="2"/>
      <c r="R280" s="2"/>
      <c r="S280" s="2"/>
      <c r="T280" s="2"/>
      <c r="U280" s="2"/>
    </row>
    <row r="281" spans="1:21" customFormat="1" x14ac:dyDescent="0.5">
      <c r="A281" s="1"/>
      <c r="B281" s="2"/>
      <c r="C281" s="2"/>
      <c r="D281" s="2"/>
      <c r="E281" s="2"/>
      <c r="F281" s="2"/>
      <c r="G281" s="2"/>
      <c r="H281" s="2"/>
      <c r="I281" s="2"/>
      <c r="J281" s="2"/>
      <c r="K281" s="2"/>
      <c r="L281" s="2"/>
      <c r="M281" s="2"/>
      <c r="N281" s="2"/>
      <c r="O281" s="2"/>
      <c r="P281" s="2"/>
      <c r="Q281" s="2"/>
      <c r="R281" s="2"/>
      <c r="S281" s="2"/>
      <c r="T281" s="2"/>
      <c r="U281" s="2"/>
    </row>
    <row r="282" spans="1:21" customFormat="1" x14ac:dyDescent="0.5">
      <c r="A282" s="1"/>
      <c r="B282" s="2"/>
      <c r="C282" s="2"/>
      <c r="D282" s="2"/>
      <c r="E282" s="2"/>
      <c r="F282" s="2"/>
      <c r="G282" s="2"/>
      <c r="H282" s="2"/>
      <c r="I282" s="2"/>
      <c r="J282" s="2"/>
      <c r="K282" s="2"/>
      <c r="L282" s="2"/>
      <c r="M282" s="2"/>
      <c r="N282" s="2"/>
      <c r="O282" s="2"/>
      <c r="P282" s="2"/>
      <c r="Q282" s="2"/>
      <c r="R282" s="2"/>
      <c r="S282" s="2"/>
      <c r="T282" s="2"/>
      <c r="U282" s="2"/>
    </row>
    <row r="283" spans="1:21" customFormat="1" x14ac:dyDescent="0.5">
      <c r="A283" s="1"/>
      <c r="B283" s="2"/>
      <c r="C283" s="2"/>
      <c r="D283" s="2"/>
      <c r="E283" s="2"/>
      <c r="F283" s="2"/>
      <c r="G283" s="2"/>
      <c r="H283" s="2"/>
      <c r="I283" s="2"/>
      <c r="J283" s="2"/>
      <c r="K283" s="2"/>
      <c r="L283" s="2"/>
      <c r="M283" s="2"/>
      <c r="N283" s="2"/>
      <c r="O283" s="2"/>
      <c r="P283" s="2"/>
      <c r="Q283" s="2"/>
      <c r="R283" s="2"/>
      <c r="S283" s="2"/>
      <c r="T283" s="2"/>
      <c r="U283" s="2"/>
    </row>
    <row r="284" spans="1:21" customFormat="1" x14ac:dyDescent="0.5">
      <c r="A284" s="1"/>
      <c r="B284" s="2"/>
      <c r="C284" s="2"/>
      <c r="D284" s="2"/>
      <c r="E284" s="2"/>
      <c r="F284" s="2"/>
      <c r="G284" s="2"/>
      <c r="H284" s="2"/>
      <c r="I284" s="2"/>
      <c r="J284" s="2"/>
      <c r="K284" s="2"/>
      <c r="L284" s="2"/>
      <c r="M284" s="2"/>
      <c r="N284" s="2"/>
      <c r="O284" s="2"/>
      <c r="P284" s="2"/>
      <c r="Q284" s="2"/>
      <c r="R284" s="2"/>
      <c r="S284" s="2"/>
      <c r="T284" s="2"/>
      <c r="U284" s="2"/>
    </row>
    <row r="285" spans="1:21" customFormat="1" x14ac:dyDescent="0.5">
      <c r="A285" s="1"/>
      <c r="B285" s="2"/>
      <c r="C285" s="2"/>
      <c r="D285" s="2"/>
      <c r="E285" s="2"/>
      <c r="F285" s="2"/>
      <c r="G285" s="2"/>
      <c r="H285" s="2"/>
      <c r="I285" s="2"/>
      <c r="J285" s="2"/>
      <c r="K285" s="2"/>
      <c r="L285" s="2"/>
      <c r="M285" s="2"/>
      <c r="N285" s="2"/>
      <c r="O285" s="2"/>
      <c r="P285" s="2"/>
      <c r="Q285" s="2"/>
      <c r="R285" s="2"/>
      <c r="S285" s="2"/>
      <c r="T285" s="2"/>
      <c r="U285" s="2"/>
    </row>
    <row r="286" spans="1:21" customFormat="1" x14ac:dyDescent="0.5">
      <c r="A286" s="1"/>
      <c r="B286" s="2"/>
      <c r="C286" s="2"/>
      <c r="D286" s="2"/>
      <c r="E286" s="2"/>
      <c r="F286" s="2"/>
      <c r="G286" s="2"/>
      <c r="H286" s="2"/>
      <c r="I286" s="2"/>
      <c r="J286" s="2"/>
      <c r="K286" s="2"/>
      <c r="L286" s="2"/>
      <c r="M286" s="2"/>
      <c r="N286" s="2"/>
      <c r="O286" s="2"/>
      <c r="P286" s="2"/>
      <c r="Q286" s="2"/>
      <c r="R286" s="2"/>
      <c r="S286" s="2"/>
      <c r="T286" s="2"/>
      <c r="U286" s="2"/>
    </row>
    <row r="287" spans="1:21" customFormat="1" x14ac:dyDescent="0.5">
      <c r="A287" s="1"/>
      <c r="B287" s="2"/>
      <c r="C287" s="2"/>
      <c r="D287" s="2"/>
      <c r="E287" s="2"/>
      <c r="F287" s="2"/>
      <c r="G287" s="2"/>
      <c r="H287" s="2"/>
      <c r="I287" s="2"/>
      <c r="J287" s="2"/>
      <c r="K287" s="2"/>
      <c r="L287" s="2"/>
      <c r="M287" s="2"/>
      <c r="N287" s="2"/>
      <c r="O287" s="2"/>
      <c r="P287" s="2"/>
      <c r="Q287" s="2"/>
      <c r="R287" s="2"/>
      <c r="S287" s="2"/>
      <c r="T287" s="2"/>
      <c r="U287" s="2"/>
    </row>
    <row r="288" spans="1:21" customFormat="1" x14ac:dyDescent="0.5">
      <c r="A288" s="1"/>
      <c r="B288" s="2"/>
      <c r="C288" s="2"/>
      <c r="D288" s="2"/>
      <c r="E288" s="2"/>
      <c r="F288" s="2"/>
      <c r="G288" s="2"/>
      <c r="H288" s="2"/>
      <c r="I288" s="2"/>
      <c r="J288" s="2"/>
      <c r="K288" s="2"/>
      <c r="L288" s="2"/>
      <c r="M288" s="2"/>
      <c r="N288" s="2"/>
      <c r="O288" s="2"/>
      <c r="P288" s="2"/>
      <c r="Q288" s="2"/>
      <c r="R288" s="2"/>
      <c r="S288" s="2"/>
      <c r="T288" s="2"/>
      <c r="U288" s="2"/>
    </row>
    <row r="289" spans="1:21" customFormat="1" x14ac:dyDescent="0.5">
      <c r="A289" s="1"/>
      <c r="B289" s="2"/>
      <c r="C289" s="2"/>
      <c r="D289" s="2"/>
      <c r="E289" s="2"/>
      <c r="F289" s="2"/>
      <c r="G289" s="2"/>
      <c r="H289" s="2"/>
      <c r="I289" s="2"/>
      <c r="J289" s="2"/>
      <c r="K289" s="2"/>
      <c r="L289" s="2"/>
      <c r="M289" s="2"/>
      <c r="N289" s="2"/>
      <c r="O289" s="2"/>
      <c r="P289" s="2"/>
      <c r="Q289" s="2"/>
      <c r="R289" s="2"/>
      <c r="S289" s="2"/>
      <c r="T289" s="2"/>
      <c r="U289" s="2"/>
    </row>
    <row r="290" spans="1:21" customFormat="1" x14ac:dyDescent="0.5">
      <c r="A290" s="1"/>
      <c r="B290" s="2"/>
      <c r="C290" s="2"/>
      <c r="D290" s="2"/>
      <c r="E290" s="2"/>
      <c r="F290" s="2"/>
      <c r="G290" s="2"/>
      <c r="H290" s="2"/>
      <c r="I290" s="2"/>
      <c r="J290" s="2"/>
      <c r="K290" s="2"/>
      <c r="L290" s="2"/>
      <c r="M290" s="2"/>
      <c r="N290" s="2"/>
      <c r="O290" s="2"/>
      <c r="P290" s="2"/>
      <c r="Q290" s="2"/>
      <c r="R290" s="2"/>
      <c r="S290" s="2"/>
      <c r="T290" s="2"/>
      <c r="U290" s="2"/>
    </row>
    <row r="291" spans="1:21" customFormat="1" x14ac:dyDescent="0.5">
      <c r="A291" s="1"/>
      <c r="B291" s="2"/>
      <c r="C291" s="2"/>
      <c r="D291" s="2"/>
      <c r="E291" s="2"/>
      <c r="F291" s="2"/>
      <c r="G291" s="2"/>
      <c r="H291" s="2"/>
      <c r="I291" s="2"/>
      <c r="J291" s="2"/>
      <c r="K291" s="2"/>
      <c r="L291" s="2"/>
      <c r="M291" s="2"/>
      <c r="N291" s="2"/>
      <c r="O291" s="2"/>
      <c r="P291" s="2"/>
      <c r="Q291" s="2"/>
      <c r="R291" s="2"/>
      <c r="S291" s="2"/>
      <c r="T291" s="2"/>
      <c r="U291" s="2"/>
    </row>
    <row r="292" spans="1:21" customFormat="1" x14ac:dyDescent="0.5">
      <c r="A292" s="1"/>
      <c r="B292" s="2"/>
      <c r="C292" s="2"/>
      <c r="D292" s="2"/>
      <c r="E292" s="5"/>
      <c r="F292" s="2"/>
      <c r="G292" s="2"/>
      <c r="H292" s="2"/>
      <c r="I292" s="2"/>
      <c r="J292" s="5"/>
      <c r="K292" s="2"/>
      <c r="L292" s="2"/>
      <c r="M292" s="2"/>
      <c r="N292" s="2"/>
      <c r="O292" s="2"/>
      <c r="P292" s="2"/>
      <c r="Q292" s="2"/>
      <c r="R292" s="2"/>
      <c r="S292" s="2"/>
      <c r="T292" s="2"/>
      <c r="U292" s="2"/>
    </row>
    <row r="293" spans="1:21" customFormat="1" x14ac:dyDescent="0.5">
      <c r="A293" s="1"/>
      <c r="B293" s="2"/>
      <c r="C293" s="2"/>
      <c r="D293" s="2"/>
      <c r="E293" s="2"/>
      <c r="F293" s="2"/>
      <c r="G293" s="2"/>
      <c r="H293" s="2"/>
      <c r="I293" s="2"/>
      <c r="J293" s="2"/>
      <c r="K293" s="2"/>
      <c r="L293" s="2"/>
      <c r="M293" s="2"/>
      <c r="N293" s="2"/>
      <c r="O293" s="2"/>
      <c r="P293" s="2"/>
      <c r="Q293" s="2"/>
      <c r="R293" s="2"/>
      <c r="S293" s="2"/>
      <c r="T293" s="2"/>
      <c r="U293" s="2"/>
    </row>
    <row r="294" spans="1:21" customFormat="1" x14ac:dyDescent="0.5">
      <c r="A294" s="1"/>
      <c r="B294" s="2"/>
      <c r="C294" s="2"/>
      <c r="D294" s="2"/>
      <c r="E294" s="2"/>
      <c r="F294" s="2"/>
      <c r="G294" s="2"/>
      <c r="H294" s="2"/>
      <c r="I294" s="2"/>
      <c r="J294" s="2"/>
      <c r="K294" s="2"/>
      <c r="L294" s="2"/>
      <c r="M294" s="2"/>
      <c r="N294" s="2"/>
      <c r="O294" s="2"/>
      <c r="P294" s="2"/>
      <c r="Q294" s="2"/>
      <c r="R294" s="2"/>
      <c r="S294" s="2"/>
      <c r="T294" s="2"/>
      <c r="U294" s="2"/>
    </row>
    <row r="300" spans="1:21" customFormat="1" x14ac:dyDescent="0.5">
      <c r="A300" s="1"/>
      <c r="B300" s="2"/>
      <c r="C300" s="2"/>
      <c r="D300" s="2"/>
      <c r="E300" s="2"/>
      <c r="F300" s="2"/>
      <c r="G300" s="2"/>
      <c r="H300" s="2"/>
      <c r="I300" s="2"/>
      <c r="J300" s="2"/>
      <c r="K300" s="2"/>
      <c r="L300" s="2"/>
      <c r="M300" s="2"/>
      <c r="N300" s="2"/>
      <c r="O300" s="2"/>
      <c r="P300" s="2"/>
      <c r="Q300" s="2"/>
      <c r="R300" s="2"/>
      <c r="S300" s="2"/>
      <c r="T300" s="2"/>
      <c r="U300" s="2"/>
    </row>
    <row r="301" spans="1:21" customFormat="1" x14ac:dyDescent="0.5">
      <c r="A301" s="1"/>
      <c r="B301" s="2"/>
      <c r="C301" s="2"/>
      <c r="D301" s="2"/>
      <c r="E301" s="2"/>
      <c r="F301" s="2"/>
      <c r="G301" s="2"/>
      <c r="H301" s="2"/>
      <c r="I301" s="2"/>
      <c r="J301" s="2"/>
      <c r="K301" s="2"/>
      <c r="L301" s="2"/>
      <c r="M301" s="2"/>
      <c r="N301" s="2"/>
      <c r="O301" s="2"/>
      <c r="P301" s="2"/>
      <c r="Q301" s="2"/>
      <c r="R301" s="2"/>
      <c r="S301" s="2"/>
      <c r="T301" s="2"/>
      <c r="U301" s="2"/>
    </row>
    <row r="305" spans="1:21" customFormat="1" x14ac:dyDescent="0.5">
      <c r="A305" s="1"/>
      <c r="B305" s="2"/>
      <c r="C305" s="2"/>
      <c r="D305" s="2"/>
      <c r="E305" s="2"/>
      <c r="F305" s="2"/>
      <c r="G305" s="2"/>
      <c r="H305" s="2"/>
      <c r="I305" s="2"/>
      <c r="J305" s="2"/>
      <c r="K305" s="2"/>
      <c r="L305" s="2"/>
      <c r="M305" s="2"/>
      <c r="N305" s="2"/>
      <c r="O305" s="2"/>
      <c r="P305" s="2"/>
      <c r="Q305" s="2"/>
      <c r="R305" s="2"/>
      <c r="S305" s="2"/>
      <c r="T305" s="2"/>
      <c r="U305" s="2"/>
    </row>
    <row r="306" spans="1:21" customFormat="1" x14ac:dyDescent="0.5">
      <c r="A306" s="1"/>
      <c r="B306" s="2"/>
      <c r="C306" s="2"/>
      <c r="D306" s="2"/>
      <c r="E306" s="2"/>
      <c r="F306" s="2"/>
      <c r="G306" s="2"/>
      <c r="H306" s="2"/>
      <c r="I306" s="2"/>
      <c r="J306" s="2"/>
      <c r="K306" s="2"/>
      <c r="L306" s="2"/>
      <c r="M306" s="2"/>
      <c r="N306" s="2"/>
      <c r="O306" s="2"/>
      <c r="P306" s="2"/>
      <c r="Q306" s="2"/>
      <c r="R306" s="2"/>
      <c r="S306" s="2"/>
      <c r="T306" s="2"/>
      <c r="U306" s="2"/>
    </row>
    <row r="307" spans="1:21" customFormat="1" x14ac:dyDescent="0.5">
      <c r="A307" s="1"/>
      <c r="B307" s="2"/>
      <c r="C307" s="2"/>
      <c r="D307" s="2"/>
      <c r="E307" s="2"/>
      <c r="F307" s="2"/>
      <c r="G307" s="2"/>
      <c r="H307" s="2"/>
      <c r="I307" s="2"/>
      <c r="J307" s="2"/>
      <c r="K307" s="2"/>
      <c r="L307" s="2"/>
      <c r="M307" s="2"/>
      <c r="N307" s="2"/>
      <c r="O307" s="2"/>
      <c r="P307" s="2"/>
      <c r="Q307" s="2"/>
      <c r="R307" s="2"/>
      <c r="S307" s="2"/>
      <c r="T307" s="2"/>
      <c r="U307" s="2"/>
    </row>
    <row r="308" spans="1:21" customFormat="1" x14ac:dyDescent="0.5">
      <c r="A308" s="1"/>
      <c r="B308" s="4"/>
      <c r="C308" s="4"/>
      <c r="D308" s="4"/>
      <c r="E308" s="4"/>
      <c r="F308" s="4"/>
      <c r="G308" s="4"/>
      <c r="H308" s="4"/>
      <c r="I308" s="4"/>
      <c r="J308" s="4"/>
      <c r="K308" s="4"/>
      <c r="L308" s="4"/>
      <c r="M308" s="4"/>
      <c r="N308" s="4"/>
      <c r="O308" s="4"/>
      <c r="P308" s="4"/>
      <c r="Q308" s="4"/>
      <c r="R308" s="4"/>
      <c r="S308" s="4"/>
      <c r="T308" s="4"/>
      <c r="U308" s="4"/>
    </row>
    <row r="309" spans="1:21" customFormat="1" x14ac:dyDescent="0.5">
      <c r="A309" s="1"/>
      <c r="B309" s="4"/>
      <c r="C309" s="4"/>
      <c r="D309" s="4"/>
      <c r="E309" s="4"/>
      <c r="F309" s="4"/>
      <c r="G309" s="4"/>
      <c r="H309" s="4"/>
      <c r="I309" s="4"/>
      <c r="J309" s="4"/>
      <c r="K309" s="4"/>
      <c r="L309" s="4"/>
      <c r="M309" s="4"/>
      <c r="N309" s="4"/>
      <c r="O309" s="4"/>
      <c r="P309" s="4"/>
      <c r="Q309" s="4"/>
      <c r="R309" s="4"/>
      <c r="S309" s="4"/>
      <c r="T309" s="4"/>
      <c r="U309" s="4"/>
    </row>
    <row r="310" spans="1:21" customFormat="1" x14ac:dyDescent="0.5">
      <c r="A310" s="1"/>
      <c r="B310" s="4"/>
      <c r="C310" s="4"/>
      <c r="D310" s="4"/>
      <c r="E310" s="4"/>
      <c r="F310" s="4"/>
      <c r="G310" s="4"/>
      <c r="H310" s="4"/>
      <c r="I310" s="4"/>
      <c r="J310" s="4"/>
      <c r="K310" s="4"/>
      <c r="L310" s="4"/>
      <c r="M310" s="4"/>
      <c r="N310" s="4"/>
      <c r="O310" s="4"/>
      <c r="P310" s="4"/>
      <c r="Q310" s="4"/>
      <c r="R310" s="4"/>
      <c r="S310" s="4"/>
      <c r="T310" s="4"/>
      <c r="U310" s="4"/>
    </row>
    <row r="312" spans="1:21" customFormat="1" x14ac:dyDescent="0.5">
      <c r="A312" s="1"/>
      <c r="B312" s="2"/>
      <c r="C312" s="2"/>
      <c r="D312" s="2"/>
      <c r="E312" s="2"/>
      <c r="F312" s="2"/>
      <c r="G312" s="2"/>
      <c r="H312" s="2"/>
      <c r="I312" s="2"/>
      <c r="J312" s="2"/>
      <c r="K312" s="2"/>
      <c r="L312" s="2"/>
      <c r="M312" s="2"/>
      <c r="N312" s="2"/>
      <c r="O312" s="2"/>
      <c r="P312" s="2"/>
      <c r="Q312" s="2"/>
      <c r="R312" s="2"/>
      <c r="S312" s="2"/>
      <c r="T312" s="2"/>
      <c r="U312" s="2"/>
    </row>
    <row r="316" spans="1:21" customFormat="1" x14ac:dyDescent="0.5">
      <c r="A316" s="1"/>
      <c r="B316" s="2"/>
      <c r="C316" s="2"/>
      <c r="D316" s="2"/>
      <c r="E316" s="2"/>
      <c r="F316" s="2"/>
      <c r="G316" s="2"/>
      <c r="H316" s="2"/>
      <c r="I316" s="2"/>
      <c r="J316" s="2"/>
      <c r="K316" s="2"/>
      <c r="L316" s="2"/>
      <c r="M316" s="2"/>
      <c r="N316" s="2"/>
      <c r="O316" s="2"/>
      <c r="P316" s="2"/>
      <c r="Q316" s="2"/>
      <c r="R316" s="2"/>
      <c r="S316" s="2"/>
      <c r="T316" s="2"/>
      <c r="U316" s="2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7"/>
  <dimension ref="A1"/>
  <sheetViews>
    <sheetView topLeftCell="A3" zoomScale="55" workbookViewId="0">
      <selection activeCell="M19" sqref="M19"/>
    </sheetView>
  </sheetViews>
  <sheetFormatPr baseColWidth="10" defaultRowHeight="33.75" x14ac:dyDescent="0.5"/>
  <sheetData/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8"/>
  <dimension ref="B1:K4"/>
  <sheetViews>
    <sheetView zoomScale="69" workbookViewId="0">
      <selection activeCell="J2" sqref="J2"/>
    </sheetView>
  </sheetViews>
  <sheetFormatPr baseColWidth="10" defaultColWidth="11.5546875" defaultRowHeight="33.75" x14ac:dyDescent="0.5"/>
  <cols>
    <col min="1" max="1" width="16.1640625" customWidth="1"/>
  </cols>
  <sheetData>
    <row r="1" spans="2:11" ht="101.25" x14ac:dyDescent="0.5">
      <c r="B1" t="s">
        <v>408</v>
      </c>
      <c r="C1" t="s">
        <v>409</v>
      </c>
      <c r="D1" t="s">
        <v>410</v>
      </c>
      <c r="E1" s="3" t="s">
        <v>411</v>
      </c>
      <c r="F1" s="3" t="s">
        <v>412</v>
      </c>
      <c r="G1" s="3" t="s">
        <v>413</v>
      </c>
      <c r="H1" s="3" t="s">
        <v>414</v>
      </c>
      <c r="I1" s="3" t="s">
        <v>415</v>
      </c>
      <c r="J1" s="3" t="s">
        <v>416</v>
      </c>
      <c r="K1" s="3"/>
    </row>
    <row r="2" spans="2:11" x14ac:dyDescent="0.5">
      <c r="B2" s="8">
        <v>85000</v>
      </c>
      <c r="C2">
        <v>5.0000000000000001E-3</v>
      </c>
      <c r="D2">
        <v>2</v>
      </c>
      <c r="E2">
        <f>SQRT((B2*C2)/(2*D2))</f>
        <v>10.307764064044152</v>
      </c>
      <c r="F2">
        <f>ROUND(E2,0)</f>
        <v>10</v>
      </c>
      <c r="G2">
        <f>B2/(2*F2)</f>
        <v>4250</v>
      </c>
      <c r="H2">
        <f>B2/F2</f>
        <v>8500</v>
      </c>
      <c r="I2">
        <f>SQRT((B2*D2)/(2*C2))</f>
        <v>4123.1056256176607</v>
      </c>
      <c r="J2">
        <f>B2/E2</f>
        <v>8246.2112512353215</v>
      </c>
    </row>
    <row r="3" spans="2:11" x14ac:dyDescent="0.5">
      <c r="B3" s="9">
        <v>35000</v>
      </c>
      <c r="C3">
        <v>0.01</v>
      </c>
      <c r="D3">
        <v>2</v>
      </c>
      <c r="E3">
        <f>SQRT((B3*C3)/(2*D3))</f>
        <v>9.354143466934854</v>
      </c>
      <c r="F3">
        <f>ROUND(E3,0)</f>
        <v>9</v>
      </c>
      <c r="G3">
        <f>B3/(2*F3)</f>
        <v>1944.4444444444443</v>
      </c>
      <c r="H3">
        <f>B3/F3</f>
        <v>3888.8888888888887</v>
      </c>
      <c r="I3">
        <f>SQRT((B3*D3)/(2*C3))</f>
        <v>1870.8286933869706</v>
      </c>
      <c r="J3">
        <f>B3/E3</f>
        <v>3741.6573867739412</v>
      </c>
    </row>
    <row r="4" spans="2:11" x14ac:dyDescent="0.5">
      <c r="B4">
        <v>2000000</v>
      </c>
      <c r="C4">
        <v>0.01</v>
      </c>
      <c r="D4">
        <v>5</v>
      </c>
      <c r="E4">
        <f>SQRT((B4*C4)/(2*D4))</f>
        <v>44.721359549995796</v>
      </c>
      <c r="F4">
        <f>ROUND(E4,0)</f>
        <v>45</v>
      </c>
      <c r="G4">
        <f>B4/(2*F4)</f>
        <v>22222.222222222223</v>
      </c>
      <c r="H4">
        <f>B4/F4</f>
        <v>44444.444444444445</v>
      </c>
      <c r="I4">
        <f>SQRT((B4*D4)/(2*C4))</f>
        <v>22360.679774997898</v>
      </c>
      <c r="J4">
        <f>B4/E4</f>
        <v>44721.359549995788</v>
      </c>
    </row>
  </sheetData>
  <sheetProtection password="8EA9" sheet="1" objects="1" scenarios="1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8</vt:i4>
      </vt:variant>
    </vt:vector>
  </HeadingPairs>
  <TitlesOfParts>
    <vt:vector size="8" baseType="lpstr">
      <vt:lpstr>Deuda Externa Neta</vt:lpstr>
      <vt:lpstr>Productividadporhoratrabajada</vt:lpstr>
      <vt:lpstr>TipodecambiofrentealEuro BDE</vt:lpstr>
      <vt:lpstr>Hoja4</vt:lpstr>
      <vt:lpstr>Hojaparapruebas</vt:lpstr>
      <vt:lpstr>Cruzado</vt:lpstr>
      <vt:lpstr>Ejesecundario</vt:lpstr>
      <vt:lpstr>Baumol y Tobin 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</dc:creator>
  <cp:lastModifiedBy>Javier Checa</cp:lastModifiedBy>
  <dcterms:created xsi:type="dcterms:W3CDTF">2022-12-11T12:33:25Z</dcterms:created>
  <dcterms:modified xsi:type="dcterms:W3CDTF">2022-12-14T08:21:20Z</dcterms:modified>
</cp:coreProperties>
</file>